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My Drive\Clients\Premier Insulation\"/>
    </mc:Choice>
  </mc:AlternateContent>
  <xr:revisionPtr revIDLastSave="0" documentId="13_ncr:1_{406045F6-6B4E-4C4C-9ECC-167ABEEE098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Sheet1!$A$1:$L$481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447" i="1"/>
  <c r="F7" i="1" a="1"/>
  <c r="F7" i="1" s="1"/>
  <c r="F8" i="1" a="1"/>
  <c r="F8" i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/>
  <c r="F157" i="1" a="1"/>
  <c r="F157" i="1" s="1"/>
  <c r="F158" i="1" a="1"/>
  <c r="F158" i="1"/>
  <c r="F159" i="1" a="1"/>
  <c r="F159" i="1" s="1"/>
  <c r="F160" i="1" a="1"/>
  <c r="F160" i="1" s="1"/>
  <c r="F161" i="1" a="1"/>
  <c r="F161" i="1" s="1"/>
  <c r="F162" i="1" a="1"/>
  <c r="F162" i="1"/>
  <c r="F163" i="1" a="1"/>
  <c r="F163" i="1" s="1"/>
  <c r="F164" i="1" a="1"/>
  <c r="F164" i="1" s="1"/>
  <c r="F165" i="1" a="1"/>
  <c r="F165" i="1" s="1"/>
  <c r="F166" i="1" a="1"/>
  <c r="F166" i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/>
  <c r="F175" i="1" a="1"/>
  <c r="F175" i="1" s="1"/>
  <c r="F176" i="1" a="1"/>
  <c r="F176" i="1" s="1"/>
  <c r="F177" i="1" a="1"/>
  <c r="F177" i="1"/>
  <c r="F178" i="1" a="1"/>
  <c r="F178" i="1" s="1"/>
  <c r="F179" i="1" a="1"/>
  <c r="F179" i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/>
  <c r="F186" i="1" a="1"/>
  <c r="F186" i="1" s="1"/>
  <c r="F187" i="1" a="1"/>
  <c r="F187" i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/>
  <c r="F194" i="1" a="1"/>
  <c r="F194" i="1" s="1"/>
  <c r="F195" i="1" a="1"/>
  <c r="F195" i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/>
  <c r="F202" i="1" a="1"/>
  <c r="F202" i="1" s="1"/>
  <c r="F203" i="1" a="1"/>
  <c r="F203" i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/>
  <c r="F210" i="1" a="1"/>
  <c r="F210" i="1" s="1"/>
  <c r="F211" i="1" a="1"/>
  <c r="F211" i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/>
  <c r="F218" i="1" a="1"/>
  <c r="F218" i="1" s="1"/>
  <c r="F219" i="1" a="1"/>
  <c r="F219" i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/>
  <c r="F226" i="1" a="1"/>
  <c r="F226" i="1" s="1"/>
  <c r="F227" i="1" a="1"/>
  <c r="F227" i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/>
  <c r="F234" i="1" a="1"/>
  <c r="F234" i="1" s="1"/>
  <c r="F235" i="1" a="1"/>
  <c r="F235" i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/>
  <c r="F242" i="1" a="1"/>
  <c r="F242" i="1" s="1"/>
  <c r="F243" i="1" a="1"/>
  <c r="F243" i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/>
  <c r="F250" i="1" a="1"/>
  <c r="F250" i="1" s="1"/>
  <c r="F251" i="1" a="1"/>
  <c r="F251" i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/>
  <c r="F258" i="1" a="1"/>
  <c r="F258" i="1" s="1"/>
  <c r="F259" i="1" a="1"/>
  <c r="F259" i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/>
  <c r="F266" i="1" a="1"/>
  <c r="F266" i="1" s="1"/>
  <c r="F267" i="1" a="1"/>
  <c r="F267" i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/>
  <c r="F274" i="1" a="1"/>
  <c r="F274" i="1" s="1"/>
  <c r="F275" i="1" a="1"/>
  <c r="F275" i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/>
  <c r="F282" i="1" a="1"/>
  <c r="F282" i="1" s="1"/>
  <c r="F283" i="1" a="1"/>
  <c r="F283" i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/>
  <c r="F290" i="1" a="1"/>
  <c r="F290" i="1" s="1"/>
  <c r="F291" i="1" a="1"/>
  <c r="F291" i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/>
  <c r="F298" i="1" a="1"/>
  <c r="F298" i="1" s="1"/>
  <c r="F299" i="1" a="1"/>
  <c r="F299" i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/>
  <c r="F306" i="1" a="1"/>
  <c r="F306" i="1" s="1"/>
  <c r="F307" i="1" a="1"/>
  <c r="F307" i="1"/>
  <c r="F308" i="1" a="1"/>
  <c r="F308" i="1" s="1"/>
  <c r="F309" i="1" a="1"/>
  <c r="F309" i="1"/>
  <c r="F310" i="1" a="1"/>
  <c r="F310" i="1" s="1"/>
  <c r="F311" i="1" a="1"/>
  <c r="F311" i="1"/>
  <c r="F312" i="1" a="1"/>
  <c r="F312" i="1" s="1"/>
  <c r="F313" i="1" a="1"/>
  <c r="F313" i="1"/>
  <c r="F314" i="1" a="1"/>
  <c r="F314" i="1" s="1"/>
  <c r="F315" i="1" a="1"/>
  <c r="F315" i="1"/>
  <c r="F316" i="1" a="1"/>
  <c r="F316" i="1" s="1"/>
  <c r="F317" i="1" a="1"/>
  <c r="F317" i="1"/>
  <c r="F318" i="1" a="1"/>
  <c r="F318" i="1" s="1"/>
  <c r="F319" i="1" a="1"/>
  <c r="F319" i="1"/>
  <c r="F320" i="1" a="1"/>
  <c r="F320" i="1" s="1"/>
  <c r="F321" i="1" a="1"/>
  <c r="F321" i="1"/>
  <c r="F322" i="1" a="1"/>
  <c r="F322" i="1" s="1"/>
  <c r="F323" i="1" a="1"/>
  <c r="F323" i="1"/>
  <c r="F324" i="1" a="1"/>
  <c r="F324" i="1" s="1"/>
  <c r="F325" i="1" a="1"/>
  <c r="F325" i="1"/>
  <c r="F326" i="1" a="1"/>
  <c r="F326" i="1" s="1"/>
  <c r="F327" i="1" a="1"/>
  <c r="F327" i="1"/>
  <c r="F328" i="1" a="1"/>
  <c r="F328" i="1" s="1"/>
  <c r="F329" i="1" a="1"/>
  <c r="F329" i="1"/>
  <c r="F330" i="1" a="1"/>
  <c r="F330" i="1" s="1"/>
  <c r="F331" i="1" a="1"/>
  <c r="F331" i="1"/>
  <c r="F332" i="1" a="1"/>
  <c r="F332" i="1" s="1"/>
  <c r="F333" i="1" a="1"/>
  <c r="F333" i="1"/>
  <c r="F334" i="1" a="1"/>
  <c r="F334" i="1" s="1"/>
  <c r="F335" i="1" a="1"/>
  <c r="F335" i="1"/>
  <c r="F336" i="1" a="1"/>
  <c r="F336" i="1" s="1"/>
  <c r="F337" i="1" a="1"/>
  <c r="F337" i="1"/>
  <c r="F338" i="1" a="1"/>
  <c r="F338" i="1" s="1"/>
  <c r="F339" i="1" a="1"/>
  <c r="F339" i="1"/>
  <c r="F340" i="1" a="1"/>
  <c r="F340" i="1" s="1"/>
  <c r="F341" i="1" a="1"/>
  <c r="F341" i="1"/>
  <c r="F342" i="1" a="1"/>
  <c r="F342" i="1" s="1"/>
  <c r="F343" i="1" a="1"/>
  <c r="F343" i="1"/>
  <c r="F344" i="1" a="1"/>
  <c r="F344" i="1" s="1"/>
  <c r="F345" i="1" a="1"/>
  <c r="F345" i="1"/>
  <c r="F346" i="1" a="1"/>
  <c r="F346" i="1" s="1"/>
  <c r="F347" i="1" a="1"/>
  <c r="F347" i="1"/>
  <c r="F348" i="1" a="1"/>
  <c r="F348" i="1" s="1"/>
  <c r="F349" i="1" a="1"/>
  <c r="F349" i="1"/>
  <c r="F350" i="1" a="1"/>
  <c r="F350" i="1" s="1"/>
  <c r="F351" i="1" a="1"/>
  <c r="F351" i="1"/>
  <c r="F352" i="1" a="1"/>
  <c r="F352" i="1" s="1"/>
  <c r="F353" i="1" a="1"/>
  <c r="F353" i="1"/>
  <c r="F354" i="1" a="1"/>
  <c r="F354" i="1" s="1"/>
  <c r="F355" i="1" a="1"/>
  <c r="F355" i="1"/>
  <c r="F356" i="1" a="1"/>
  <c r="F356" i="1" s="1"/>
  <c r="F357" i="1" a="1"/>
  <c r="F357" i="1"/>
  <c r="F358" i="1" a="1"/>
  <c r="F358" i="1" s="1"/>
  <c r="F359" i="1" a="1"/>
  <c r="F359" i="1"/>
  <c r="F360" i="1" a="1"/>
  <c r="F360" i="1" s="1"/>
  <c r="F361" i="1" a="1"/>
  <c r="F361" i="1"/>
  <c r="F362" i="1" a="1"/>
  <c r="F362" i="1" s="1"/>
  <c r="F363" i="1" a="1"/>
  <c r="F363" i="1"/>
  <c r="F364" i="1" a="1"/>
  <c r="F364" i="1" s="1"/>
  <c r="F365" i="1" a="1"/>
  <c r="F365" i="1"/>
  <c r="F366" i="1" a="1"/>
  <c r="F366" i="1" s="1"/>
  <c r="F367" i="1" a="1"/>
  <c r="F367" i="1"/>
  <c r="F368" i="1" a="1"/>
  <c r="F368" i="1" s="1"/>
  <c r="F369" i="1" a="1"/>
  <c r="F369" i="1"/>
  <c r="F370" i="1" a="1"/>
  <c r="F370" i="1" s="1"/>
  <c r="F371" i="1" a="1"/>
  <c r="F371" i="1"/>
  <c r="F372" i="1" a="1"/>
  <c r="F372" i="1" s="1"/>
  <c r="F373" i="1" a="1"/>
  <c r="F373" i="1"/>
  <c r="F374" i="1" a="1"/>
  <c r="F374" i="1" s="1"/>
  <c r="F375" i="1" a="1"/>
  <c r="F375" i="1"/>
  <c r="F376" i="1" a="1"/>
  <c r="F376" i="1" s="1"/>
  <c r="F377" i="1" a="1"/>
  <c r="F377" i="1"/>
  <c r="F378" i="1" a="1"/>
  <c r="F378" i="1" s="1"/>
  <c r="F379" i="1" a="1"/>
  <c r="F379" i="1"/>
  <c r="F380" i="1" a="1"/>
  <c r="F380" i="1" s="1"/>
  <c r="F381" i="1" a="1"/>
  <c r="F381" i="1"/>
  <c r="F382" i="1" a="1"/>
  <c r="F382" i="1" s="1"/>
  <c r="F383" i="1" a="1"/>
  <c r="F383" i="1"/>
  <c r="F384" i="1" a="1"/>
  <c r="F384" i="1" s="1"/>
  <c r="F385" i="1" a="1"/>
  <c r="F385" i="1"/>
  <c r="F386" i="1" a="1"/>
  <c r="F386" i="1" s="1"/>
  <c r="F387" i="1" a="1"/>
  <c r="F387" i="1"/>
  <c r="F388" i="1" a="1"/>
  <c r="F388" i="1" s="1"/>
  <c r="F389" i="1" a="1"/>
  <c r="F389" i="1"/>
  <c r="F390" i="1" a="1"/>
  <c r="F390" i="1" s="1"/>
  <c r="F391" i="1" a="1"/>
  <c r="F391" i="1"/>
  <c r="F392" i="1" a="1"/>
  <c r="F392" i="1" s="1"/>
  <c r="F393" i="1" a="1"/>
  <c r="F393" i="1"/>
  <c r="F394" i="1" a="1"/>
  <c r="F394" i="1" s="1"/>
  <c r="F395" i="1" a="1"/>
  <c r="F395" i="1"/>
  <c r="F396" i="1" a="1"/>
  <c r="F396" i="1" s="1"/>
  <c r="F397" i="1" a="1"/>
  <c r="F397" i="1"/>
  <c r="F398" i="1" a="1"/>
  <c r="F398" i="1" s="1"/>
  <c r="F399" i="1" a="1"/>
  <c r="F399" i="1"/>
  <c r="F400" i="1" a="1"/>
  <c r="F400" i="1" s="1"/>
  <c r="F401" i="1" a="1"/>
  <c r="F401" i="1"/>
  <c r="F402" i="1" a="1"/>
  <c r="F402" i="1" s="1"/>
  <c r="F403" i="1" a="1"/>
  <c r="F403" i="1"/>
  <c r="F404" i="1" a="1"/>
  <c r="F404" i="1" s="1"/>
  <c r="F405" i="1" a="1"/>
  <c r="F405" i="1"/>
  <c r="F406" i="1" a="1"/>
  <c r="F406" i="1" s="1"/>
  <c r="F407" i="1" a="1"/>
  <c r="F407" i="1"/>
  <c r="F408" i="1" a="1"/>
  <c r="F408" i="1" s="1"/>
  <c r="F409" i="1" a="1"/>
  <c r="F409" i="1"/>
  <c r="F410" i="1" a="1"/>
  <c r="F410" i="1" s="1"/>
  <c r="F411" i="1" a="1"/>
  <c r="F411" i="1"/>
  <c r="F412" i="1" a="1"/>
  <c r="F412" i="1" s="1"/>
  <c r="F413" i="1" a="1"/>
  <c r="F413" i="1"/>
  <c r="F414" i="1" a="1"/>
  <c r="F414" i="1" s="1"/>
  <c r="F415" i="1" a="1"/>
  <c r="F415" i="1"/>
  <c r="F416" i="1" a="1"/>
  <c r="F416" i="1" s="1"/>
  <c r="F417" i="1" a="1"/>
  <c r="F417" i="1"/>
  <c r="F418" i="1" a="1"/>
  <c r="F418" i="1" s="1"/>
  <c r="F419" i="1" a="1"/>
  <c r="F419" i="1"/>
  <c r="F420" i="1" a="1"/>
  <c r="F420" i="1" s="1"/>
  <c r="F421" i="1" a="1"/>
  <c r="F421" i="1"/>
  <c r="F422" i="1" a="1"/>
  <c r="F422" i="1" s="1"/>
  <c r="F423" i="1" a="1"/>
  <c r="F423" i="1"/>
  <c r="F424" i="1" a="1"/>
  <c r="F424" i="1" s="1"/>
  <c r="F425" i="1" a="1"/>
  <c r="F425" i="1"/>
  <c r="F426" i="1" a="1"/>
  <c r="F426" i="1" s="1"/>
  <c r="F427" i="1" a="1"/>
  <c r="F427" i="1"/>
  <c r="F428" i="1" a="1"/>
  <c r="F428" i="1" s="1"/>
  <c r="F429" i="1" a="1"/>
  <c r="F429" i="1"/>
  <c r="F430" i="1" a="1"/>
  <c r="F430" i="1" s="1"/>
  <c r="F431" i="1" a="1"/>
  <c r="F431" i="1"/>
  <c r="F432" i="1" a="1"/>
  <c r="F432" i="1" s="1"/>
  <c r="F433" i="1" a="1"/>
  <c r="F433" i="1"/>
  <c r="F434" i="1" a="1"/>
  <c r="F434" i="1" s="1"/>
  <c r="F435" i="1" a="1"/>
  <c r="F435" i="1"/>
  <c r="F436" i="1" a="1"/>
  <c r="F436" i="1" s="1"/>
  <c r="F437" i="1" a="1"/>
  <c r="F437" i="1"/>
  <c r="F438" i="1" a="1"/>
  <c r="F438" i="1" s="1"/>
  <c r="F439" i="1" a="1"/>
  <c r="F439" i="1"/>
  <c r="F440" i="1" a="1"/>
  <c r="F440" i="1" s="1"/>
  <c r="F441" i="1" a="1"/>
  <c r="F441" i="1"/>
  <c r="F442" i="1" a="1"/>
  <c r="F442" i="1" s="1"/>
  <c r="F443" i="1" a="1"/>
  <c r="F443" i="1"/>
  <c r="F444" i="1" a="1"/>
  <c r="F444" i="1" s="1"/>
  <c r="F445" i="1" a="1"/>
  <c r="F445" i="1"/>
  <c r="F446" i="1" a="1"/>
  <c r="F446" i="1" s="1"/>
  <c r="F447" i="1" a="1"/>
  <c r="F447" i="1"/>
  <c r="F448" i="1" a="1"/>
  <c r="F448" i="1" s="1"/>
  <c r="F449" i="1" a="1"/>
  <c r="F449" i="1"/>
  <c r="F450" i="1" a="1"/>
  <c r="F450" i="1" s="1"/>
  <c r="F451" i="1" a="1"/>
  <c r="F451" i="1"/>
  <c r="F452" i="1" a="1"/>
  <c r="F452" i="1" s="1"/>
  <c r="F453" i="1" a="1"/>
  <c r="F453" i="1"/>
  <c r="F454" i="1" a="1"/>
  <c r="F454" i="1" s="1"/>
  <c r="F455" i="1" a="1"/>
  <c r="F455" i="1"/>
  <c r="F456" i="1" a="1"/>
  <c r="F456" i="1" s="1"/>
  <c r="F457" i="1" a="1"/>
  <c r="F457" i="1"/>
  <c r="F458" i="1" a="1"/>
  <c r="F458" i="1" s="1"/>
  <c r="F459" i="1" a="1"/>
  <c r="F459" i="1"/>
  <c r="F460" i="1" a="1"/>
  <c r="F460" i="1" s="1"/>
  <c r="F461" i="1" a="1"/>
  <c r="F461" i="1"/>
  <c r="F462" i="1" a="1"/>
  <c r="F462" i="1" s="1"/>
  <c r="F463" i="1" a="1"/>
  <c r="F463" i="1"/>
  <c r="F464" i="1" a="1"/>
  <c r="F464" i="1" s="1"/>
  <c r="F465" i="1" a="1"/>
  <c r="F465" i="1"/>
  <c r="F466" i="1" a="1"/>
  <c r="F466" i="1" s="1"/>
  <c r="F467" i="1" a="1"/>
  <c r="F467" i="1"/>
  <c r="F468" i="1" a="1"/>
  <c r="F468" i="1" s="1"/>
  <c r="F469" i="1" a="1"/>
  <c r="F469" i="1"/>
  <c r="F470" i="1" a="1"/>
  <c r="F470" i="1" s="1"/>
  <c r="F471" i="1" a="1"/>
  <c r="F471" i="1"/>
  <c r="F472" i="1" a="1"/>
  <c r="F472" i="1" s="1"/>
  <c r="F473" i="1" a="1"/>
  <c r="F473" i="1"/>
  <c r="F474" i="1" a="1"/>
  <c r="F474" i="1" s="1"/>
  <c r="F475" i="1" a="1"/>
  <c r="F475" i="1"/>
  <c r="F476" i="1" a="1"/>
  <c r="F476" i="1" s="1"/>
  <c r="F477" i="1" a="1"/>
  <c r="F477" i="1"/>
  <c r="F478" i="1" a="1"/>
  <c r="F478" i="1" s="1"/>
  <c r="F479" i="1" a="1"/>
  <c r="F479" i="1"/>
  <c r="F480" i="1" a="1"/>
  <c r="F480" i="1" s="1"/>
  <c r="F481" i="1" a="1"/>
  <c r="F481" i="1"/>
  <c r="F3" i="1" a="1"/>
  <c r="F3" i="1" s="1"/>
  <c r="F4" i="1" a="1"/>
  <c r="F4" i="1"/>
  <c r="F5" i="1" a="1"/>
  <c r="F5" i="1" s="1"/>
  <c r="F6" i="1" a="1"/>
  <c r="F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<sst xmlns="http://schemas.openxmlformats.org/spreadsheetml/2006/main" count="3922" uniqueCount="2572">
  <si>
    <t>Full Name</t>
  </si>
  <si>
    <t>Contact Type</t>
  </si>
  <si>
    <t>Email Address</t>
  </si>
  <si>
    <t>Additional Emails</t>
  </si>
  <si>
    <t>Title</t>
  </si>
  <si>
    <t>Adroit Builders LTD</t>
  </si>
  <si>
    <t>QBS Construction</t>
  </si>
  <si>
    <t>Roberts Builders</t>
  </si>
  <si>
    <t>Barfoot &amp; Thompson Orewa</t>
  </si>
  <si>
    <t>Benton Limited</t>
  </si>
  <si>
    <t>Dominion Residential</t>
  </si>
  <si>
    <t>Nick Williams</t>
  </si>
  <si>
    <t>Mike Greer Commercial</t>
  </si>
  <si>
    <t>Nick Grainger</t>
  </si>
  <si>
    <t>Fortified Constructions</t>
  </si>
  <si>
    <t>Ray White Damerell Group Ltd Property</t>
  </si>
  <si>
    <t>Dominion Constructors Ltd</t>
  </si>
  <si>
    <t>Box Build</t>
  </si>
  <si>
    <t>JAL Developments Ltd.</t>
  </si>
  <si>
    <t>Pure Construction NZ Ltd</t>
  </si>
  <si>
    <t>NorthSpace</t>
  </si>
  <si>
    <t>LEADING BUILD LIMITED</t>
  </si>
  <si>
    <t xml:space="preserve">AULFON Construction Ltd </t>
  </si>
  <si>
    <t>QBP Ltd</t>
  </si>
  <si>
    <t>LAWTON BUILDING LIMITED</t>
  </si>
  <si>
    <t>Sentinel Homes - Auckland North/West</t>
  </si>
  <si>
    <t>MOD Builders</t>
  </si>
  <si>
    <t>Mike Antoniadis</t>
  </si>
  <si>
    <t>Mike Wilson</t>
  </si>
  <si>
    <t>OT Quality Builders</t>
  </si>
  <si>
    <t>A1 CONSTRUCTION &amp; RENOVATIONS LIMITED</t>
  </si>
  <si>
    <t xml:space="preserve">Strawbridge Build </t>
  </si>
  <si>
    <t>Shelter Realty - Harcourts</t>
  </si>
  <si>
    <t>VMP Constructions</t>
  </si>
  <si>
    <t>Access Kiwi</t>
  </si>
  <si>
    <t>Eagle Eye Home Inspections Limited t/a 3C Construction</t>
  </si>
  <si>
    <t>Rising Sun 2017 Limited</t>
  </si>
  <si>
    <t xml:space="preserve">Oakmont Homes </t>
  </si>
  <si>
    <t xml:space="preserve">C Power Homes </t>
  </si>
  <si>
    <t>MERIDIAN CONSTRUCTION + MF GROUP LTD</t>
  </si>
  <si>
    <t>Carters Henderson</t>
  </si>
  <si>
    <t>PI Vidovich Builders Ltd</t>
  </si>
  <si>
    <t xml:space="preserve">Design House Limited </t>
  </si>
  <si>
    <t xml:space="preserve">Penelope Aguiar </t>
  </si>
  <si>
    <t xml:space="preserve">Form Construction Auckland Ltd </t>
  </si>
  <si>
    <t>ASSET MANAGERS LIMITED</t>
  </si>
  <si>
    <t>Byrne Homes</t>
  </si>
  <si>
    <t>Complete Building &amp; Reclads</t>
  </si>
  <si>
    <t>Aalbers Construction Ltd</t>
  </si>
  <si>
    <t>North Star</t>
  </si>
  <si>
    <t>Signature Residential</t>
  </si>
  <si>
    <t>Coast2coast Builders</t>
  </si>
  <si>
    <t>Universal Homes Ltd</t>
  </si>
  <si>
    <t xml:space="preserve">Finesse Construction Ltd </t>
  </si>
  <si>
    <t>KB Projects</t>
  </si>
  <si>
    <t>Shelter Realty - Harcourts (New Lynn)</t>
  </si>
  <si>
    <t>Smart Solutions</t>
  </si>
  <si>
    <t xml:space="preserve">Stryde Commercial </t>
  </si>
  <si>
    <t>TROW</t>
  </si>
  <si>
    <t>Madison Dohrman</t>
  </si>
  <si>
    <t>Mike Greer Homes Central Auckland Limited</t>
  </si>
  <si>
    <t>HOLMES CONSTRUCTION LIMITED</t>
  </si>
  <si>
    <t>Mackys Real Estate Limited - Bayleys In The North</t>
  </si>
  <si>
    <t>LEP Construction</t>
  </si>
  <si>
    <t>A-SPACE LIMITED</t>
  </si>
  <si>
    <t>Iron Bridge Property Management</t>
  </si>
  <si>
    <t>Ray White Millwater</t>
  </si>
  <si>
    <t>PBM Projects</t>
  </si>
  <si>
    <t>RECO Construction</t>
  </si>
  <si>
    <t>Signature Homes Rodney &amp; North Shore</t>
  </si>
  <si>
    <t>Jalcon Homes</t>
  </si>
  <si>
    <t>Maddren Homes</t>
  </si>
  <si>
    <t>J. R. Hosking Carpenters &amp; Co. Ltd</t>
  </si>
  <si>
    <t>Mandeep Singh Dandwal</t>
  </si>
  <si>
    <t>Conach Living Ltd - Sentinel Auckland East and South</t>
  </si>
  <si>
    <t>CMP</t>
  </si>
  <si>
    <t>Colabb Build Limited</t>
  </si>
  <si>
    <t>IBL – IMRE BUILDING LTD</t>
  </si>
  <si>
    <t>ACTION HOME BUILDERS LIMITED</t>
  </si>
  <si>
    <t>DC Builders</t>
  </si>
  <si>
    <t>Vertigro Property Management</t>
  </si>
  <si>
    <t>Maurice Yozin</t>
  </si>
  <si>
    <t>Maurice Kirman</t>
  </si>
  <si>
    <t>D-Construction</t>
  </si>
  <si>
    <t>MD PROJECTS NZ LIMITED</t>
  </si>
  <si>
    <t>Good Brothers Group</t>
  </si>
  <si>
    <t>Moore Construction Company ltd</t>
  </si>
  <si>
    <t>Harmony Homes Ltd</t>
  </si>
  <si>
    <t xml:space="preserve">LICENSED RECLADS LIMITED  </t>
  </si>
  <si>
    <t>Mark Lindsay Construction</t>
  </si>
  <si>
    <t>Bindon Construction Limited</t>
  </si>
  <si>
    <t>SELAH HOMES</t>
  </si>
  <si>
    <t>Waide Commercial Construction Ltd</t>
  </si>
  <si>
    <t>Hawkins</t>
  </si>
  <si>
    <t>Hofmann Construction Ltd.</t>
  </si>
  <si>
    <t>DESIRABLE HOMES LIMITED</t>
  </si>
  <si>
    <t>Rakesh Patel</t>
  </si>
  <si>
    <t>Healthy Estate</t>
  </si>
  <si>
    <t>CASSIDY BUILD GROUP LIMITED</t>
  </si>
  <si>
    <t>Barfoot &amp; Thompson West Harbour</t>
  </si>
  <si>
    <t>COAST RESIDENTIAL LIMITED</t>
  </si>
  <si>
    <t>Test Customer</t>
  </si>
  <si>
    <t>Dawson Construction</t>
  </si>
  <si>
    <t>NFL CONSTRUCTION LIMITED</t>
  </si>
  <si>
    <t>SY CONSTRUCTION LIMITED</t>
  </si>
  <si>
    <t>Sumit Negi</t>
  </si>
  <si>
    <t>360 Property Management Kingsland</t>
  </si>
  <si>
    <t>Landmark Homes North Shore/Rodney</t>
  </si>
  <si>
    <t>Eco Pods</t>
  </si>
  <si>
    <t>BLACKLEDGE BUILDERS LIMITED</t>
  </si>
  <si>
    <t>Faulkner Construction Limited</t>
  </si>
  <si>
    <t>Naylor Love</t>
  </si>
  <si>
    <t>DOUBLE ELEPHANT LIMITED</t>
  </si>
  <si>
    <t>Stanley Benjamin</t>
  </si>
  <si>
    <t>Carters Morningside</t>
  </si>
  <si>
    <t>Xtreme Builders</t>
  </si>
  <si>
    <t>Craft Homes</t>
  </si>
  <si>
    <t>WYSE CONSTRUCTION LIMITED</t>
  </si>
  <si>
    <t>BUILD SMART GROUP LIMITED</t>
  </si>
  <si>
    <t>LP Development Co. Limited</t>
  </si>
  <si>
    <t>Stehr Brothers Limited</t>
  </si>
  <si>
    <t>UCON Construction Ltd.</t>
  </si>
  <si>
    <t>Warren Adolph Homes</t>
  </si>
  <si>
    <t>LIVEFIRM CONSTRUCTION (North Island) LTD</t>
  </si>
  <si>
    <t>Cavalier Homes</t>
  </si>
  <si>
    <t>JL BUILDER AND MAINTENANCE LIMITED</t>
  </si>
  <si>
    <t>Auckland Plastering Group</t>
  </si>
  <si>
    <t>Metro Builder Ltd</t>
  </si>
  <si>
    <t>Mike Greer Homes NZ Limited</t>
  </si>
  <si>
    <t>3D Builders Ltd.</t>
  </si>
  <si>
    <t>Inspired Designs Ltd.</t>
  </si>
  <si>
    <t xml:space="preserve">CONSORTIUM CONSTRUCTION LTD </t>
  </si>
  <si>
    <t>Soham Udare</t>
  </si>
  <si>
    <t xml:space="preserve">TAG KIWI </t>
  </si>
  <si>
    <t>Loughnan Builders LTD</t>
  </si>
  <si>
    <t>CARTERS Panmure</t>
  </si>
  <si>
    <t>Gibson Building</t>
  </si>
  <si>
    <t>Madewell Construction Ltd</t>
  </si>
  <si>
    <t>Rupesh Shroff</t>
  </si>
  <si>
    <t>McCore Group</t>
  </si>
  <si>
    <t>Ronald Boersen</t>
  </si>
  <si>
    <t>Signature Homes</t>
  </si>
  <si>
    <t>Shakthi Construction Ltd.</t>
  </si>
  <si>
    <t>Lisk Projects Limited</t>
  </si>
  <si>
    <t>Versatile West/North Auckland</t>
  </si>
  <si>
    <t>TOTAL CONSTRUCTIT LIMITED</t>
  </si>
  <si>
    <t>Senior Construction</t>
  </si>
  <si>
    <t>DIAMOND BUILDING GROUP LIMITED</t>
  </si>
  <si>
    <t>100build</t>
  </si>
  <si>
    <t>Sim and Stella Khor</t>
  </si>
  <si>
    <t>CHT Development</t>
  </si>
  <si>
    <t>Alpha Construction Services</t>
  </si>
  <si>
    <t>PROFESSIONAL TECHNICIAN GROUP LIMITED</t>
  </si>
  <si>
    <t>Mike Greer Homes Auckland Limited</t>
  </si>
  <si>
    <t>Shaye's Tiny Homes</t>
  </si>
  <si>
    <t>I Build Solutions</t>
  </si>
  <si>
    <t>John and Sara Beaty</t>
  </si>
  <si>
    <t>Hobson Delowe Homes Ltd</t>
  </si>
  <si>
    <t>Shamim Khan</t>
  </si>
  <si>
    <t>SUNNYSIDE LANE LIMITED</t>
  </si>
  <si>
    <t>Buildline</t>
  </si>
  <si>
    <t>SCOTT ROSS CONSTRUCTION LIMITED</t>
  </si>
  <si>
    <t>Duncan Gardner Homes Limited(West Auckland)</t>
  </si>
  <si>
    <t>Earlybird Construction</t>
  </si>
  <si>
    <t>Sarah Berry</t>
  </si>
  <si>
    <t xml:space="preserve">Kathryn Leaga Mini </t>
  </si>
  <si>
    <t>KNCC LIMITED</t>
  </si>
  <si>
    <t>Nallard Construction Ltd.</t>
  </si>
  <si>
    <t>Hybrid Residential Ltd</t>
  </si>
  <si>
    <t>Corinthian Property management</t>
  </si>
  <si>
    <t>Brothers Construction Group</t>
  </si>
  <si>
    <t>Sparta Construction NZ</t>
  </si>
  <si>
    <t>Ray White Warkworth</t>
  </si>
  <si>
    <t xml:space="preserve">Charlie Houtwipper </t>
  </si>
  <si>
    <t>ADVANTAGE PROJECTS LIMITED</t>
  </si>
  <si>
    <t>Guardian Construction Limited</t>
  </si>
  <si>
    <t>Carlene Inu</t>
  </si>
  <si>
    <t>RADALY CONSTRUCTION LIMITED</t>
  </si>
  <si>
    <t>CERTIFIED BUILDING PROJECTS LIMITED</t>
  </si>
  <si>
    <t>CE CONSTRUCTION LTD</t>
  </si>
  <si>
    <t>TAHA TINY HOMES</t>
  </si>
  <si>
    <t xml:space="preserve">Mike Greer Franklin Ltd </t>
  </si>
  <si>
    <t>DDL Homes</t>
  </si>
  <si>
    <t xml:space="preserve">UIV </t>
  </si>
  <si>
    <t>Shorcom Ltd</t>
  </si>
  <si>
    <t>Fowler Homes South Auckland</t>
  </si>
  <si>
    <t>Pinelea Builders</t>
  </si>
  <si>
    <t xml:space="preserve">Ockham Construction Ltd </t>
  </si>
  <si>
    <t>Brosnan Construction</t>
  </si>
  <si>
    <t>Dynamic Decorators Ltd.</t>
  </si>
  <si>
    <t>Dominic</t>
  </si>
  <si>
    <t>Downright Construction</t>
  </si>
  <si>
    <t>Lyons Property Management</t>
  </si>
  <si>
    <t>Stark Builders</t>
  </si>
  <si>
    <t>M.R Kitchens &amp; Bathrooms</t>
  </si>
  <si>
    <t>Origin Build</t>
  </si>
  <si>
    <t>URBAN PROJECTS LIMITED</t>
  </si>
  <si>
    <t>NEW ZEALAND RENOVATION COMPANY</t>
  </si>
  <si>
    <t>Cobb Property Management</t>
  </si>
  <si>
    <t>Goodwins Property Management</t>
  </si>
  <si>
    <t>Better Building</t>
  </si>
  <si>
    <t>The Building Co.</t>
  </si>
  <si>
    <t>URBAN LIVING LIMITED</t>
  </si>
  <si>
    <t>Corinne Imbert</t>
  </si>
  <si>
    <t>Brad Pearless</t>
  </si>
  <si>
    <t>NZ Builders</t>
  </si>
  <si>
    <t>Andy the Builder</t>
  </si>
  <si>
    <t>Renovate 20/20 Ltd</t>
  </si>
  <si>
    <t>BACH PODZ NZ LIMITED</t>
  </si>
  <si>
    <t>Grace Property Management Limited</t>
  </si>
  <si>
    <t>Aspire Property</t>
  </si>
  <si>
    <t>Barfoot &amp; Thompson Kumeu</t>
  </si>
  <si>
    <t>Qualitas Builders</t>
  </si>
  <si>
    <t>Barfoot &amp; Thompson Mt Roskill</t>
  </si>
  <si>
    <t>Orient Construction Ltd</t>
  </si>
  <si>
    <t>Harcourts - Tandem Property Management Warkworth</t>
  </si>
  <si>
    <t>GJ Gardner</t>
  </si>
  <si>
    <t>G.J. Gardner Homes(Manukau Major Projects)</t>
  </si>
  <si>
    <t>KMB Construction Ltd.</t>
  </si>
  <si>
    <t>Auckland Property Managment</t>
  </si>
  <si>
    <t>Upperton Construction</t>
  </si>
  <si>
    <t>Lewis Build Ltd</t>
  </si>
  <si>
    <t>Craft Construction</t>
  </si>
  <si>
    <t>Cooper Build Collective</t>
  </si>
  <si>
    <t>BOS Construction Ltd.</t>
  </si>
  <si>
    <t>Smith and Sons</t>
  </si>
  <si>
    <t>Indelible Homes</t>
  </si>
  <si>
    <t>Macrennie Commercial Construction</t>
  </si>
  <si>
    <t>Azadyousifi</t>
  </si>
  <si>
    <t>SPL Ceilings Limited</t>
  </si>
  <si>
    <t>Treasure Homes</t>
  </si>
  <si>
    <t>Cocoon Tiny Homes</t>
  </si>
  <si>
    <t>Element Builders Limited</t>
  </si>
  <si>
    <t>Next Level Construct</t>
  </si>
  <si>
    <t>KN CONSTRUCTION LTD</t>
  </si>
  <si>
    <t>BAU Holdings Ltd T/A Sentinel Homes Warkworth</t>
  </si>
  <si>
    <t>KKG Limited t/a Refresh Renovations</t>
  </si>
  <si>
    <t xml:space="preserve">Integrity Homes Ltd </t>
  </si>
  <si>
    <t>Jess</t>
  </si>
  <si>
    <t>NorthStar Group</t>
  </si>
  <si>
    <t>Roose Butcher Builders Ltd</t>
  </si>
  <si>
    <t>Nick Bosanac Builders</t>
  </si>
  <si>
    <t>Jeff and Rhonda Albom</t>
  </si>
  <si>
    <t>Jed Radaly</t>
  </si>
  <si>
    <t>iCreate Building and Renovations Ltd</t>
  </si>
  <si>
    <t>Lorenzen Builders Limited</t>
  </si>
  <si>
    <t>OWEN BUILDERS LIMITED</t>
  </si>
  <si>
    <t>Dash Build</t>
  </si>
  <si>
    <t>NZ BUILDING DEVELOPMENTS LIMITED</t>
  </si>
  <si>
    <t>Aspec Construction</t>
  </si>
  <si>
    <t>Nest Or Invest Group</t>
  </si>
  <si>
    <t>Shield Group</t>
  </si>
  <si>
    <t>BLACKWOOD HOMES LIMITED</t>
  </si>
  <si>
    <t>Sentinelhomes Warkworth &amp; Matakana</t>
  </si>
  <si>
    <t>Barfoor &amp; Thompson Grey Lynn</t>
  </si>
  <si>
    <t>Karl Crosbie</t>
  </si>
  <si>
    <t xml:space="preserve">Ultra Interiors </t>
  </si>
  <si>
    <t>BMH Homes</t>
  </si>
  <si>
    <t>SYSTEMATIC HOMES LIMITED</t>
  </si>
  <si>
    <t>CBM Construction</t>
  </si>
  <si>
    <t>Millstone Residential</t>
  </si>
  <si>
    <t>Juliana Joe</t>
  </si>
  <si>
    <t>Oracle Property Managment</t>
  </si>
  <si>
    <t>CUSTOM LIVING CONSTRUCTION LIMITED</t>
  </si>
  <si>
    <t>GRANT BUILT LIMITED</t>
  </si>
  <si>
    <t>RUSSELL H JONES CONSTRUCTION LIMITED</t>
  </si>
  <si>
    <t>CETA HOMES LIMITED</t>
  </si>
  <si>
    <t>J.Cole Builders Ltd</t>
  </si>
  <si>
    <t>John Clifford</t>
  </si>
  <si>
    <t xml:space="preserve">John Drummond </t>
  </si>
  <si>
    <t xml:space="preserve">MDL Civil &amp; Engineering Ltd </t>
  </si>
  <si>
    <t>Macreadie Builders</t>
  </si>
  <si>
    <t>QPC Builders</t>
  </si>
  <si>
    <t>Three Dukes Homes</t>
  </si>
  <si>
    <t>Mako Commercial</t>
  </si>
  <si>
    <t xml:space="preserve">Auckland Quality Builders </t>
  </si>
  <si>
    <t>Cooper &amp; Cooper Renovations</t>
  </si>
  <si>
    <t>BYRON CONSTRUCTION LIMITED</t>
  </si>
  <si>
    <t>Landmark Homes - West/Central Auckland</t>
  </si>
  <si>
    <t>Form Concepts Ltd.</t>
  </si>
  <si>
    <t>ABSOLUTE DEVELOPMENTS LIMITED</t>
  </si>
  <si>
    <t>PROBUILT BUILDERS LIMITED</t>
  </si>
  <si>
    <t>iHomes</t>
  </si>
  <si>
    <t>Rp Global (nz) Limited</t>
  </si>
  <si>
    <t>Classic Builders</t>
  </si>
  <si>
    <t>SAFF HOMES LIMITED</t>
  </si>
  <si>
    <t>Frontline Projects</t>
  </si>
  <si>
    <t>AXE CONSTRUCTION LIMITED(RENOVAIRE LIMITED)</t>
  </si>
  <si>
    <t>Construction Management Group (Building) Ltd</t>
  </si>
  <si>
    <t>Anson Construction NZ Ltd</t>
  </si>
  <si>
    <t>Signature Construction Ltd</t>
  </si>
  <si>
    <t xml:space="preserve">GDR Builders </t>
  </si>
  <si>
    <t>Ashcroft Homes</t>
  </si>
  <si>
    <t>GT BUILDERS AND PROJECT MANAGEMENT LIMITED</t>
  </si>
  <si>
    <t>Saltark Property Management</t>
  </si>
  <si>
    <t>GOODWIN &amp; GOLDSTONE LIMITED</t>
  </si>
  <si>
    <t>Brant Homes</t>
  </si>
  <si>
    <t>Lanta</t>
  </si>
  <si>
    <t>Spectrum Construction Ltd.</t>
  </si>
  <si>
    <t>Miles Construction</t>
  </si>
  <si>
    <t xml:space="preserve">Market Ready </t>
  </si>
  <si>
    <t>SALT CONSTRUCTION</t>
  </si>
  <si>
    <t>Hitesh Patel</t>
  </si>
  <si>
    <t>HD Building</t>
  </si>
  <si>
    <t>Heinreck</t>
  </si>
  <si>
    <t>Scott Building Ltd</t>
  </si>
  <si>
    <t>GOLD HOMES LIMITED</t>
  </si>
  <si>
    <t>Harcourts Real Estate Manly, Whangaparaoa</t>
  </si>
  <si>
    <t>Guy Goodale</t>
  </si>
  <si>
    <t>MADE BY</t>
  </si>
  <si>
    <t xml:space="preserve"> Oscar Williams</t>
  </si>
  <si>
    <t>Olivia Kemp</t>
  </si>
  <si>
    <t>Oliver  Ou</t>
  </si>
  <si>
    <t xml:space="preserve">Nikki Edwards </t>
  </si>
  <si>
    <t>Nigel Benton</t>
  </si>
  <si>
    <t>Nicole  Banks</t>
  </si>
  <si>
    <t>Nick Zhang</t>
  </si>
  <si>
    <t>Nick Wallace</t>
  </si>
  <si>
    <t>Niall  Ferguson</t>
  </si>
  <si>
    <t xml:space="preserve">Nathan Reynolds </t>
  </si>
  <si>
    <t>Natalie Gonthier</t>
  </si>
  <si>
    <t>Natalia Martinez</t>
  </si>
  <si>
    <t>Nat Holloway</t>
  </si>
  <si>
    <t>Nadia Nakhle</t>
  </si>
  <si>
    <t>Murray Wilson</t>
  </si>
  <si>
    <t>Murray Bell</t>
  </si>
  <si>
    <t>Mohammed Shamil</t>
  </si>
  <si>
    <t xml:space="preserve">Mingtao  Shi </t>
  </si>
  <si>
    <t>Miko Lee</t>
  </si>
  <si>
    <t>Mike Unknown</t>
  </si>
  <si>
    <t>Mike John Lawton</t>
  </si>
  <si>
    <t>Mike Faulkner</t>
  </si>
  <si>
    <t>Mike Dunbar</t>
  </si>
  <si>
    <t>Mike  Wilson</t>
  </si>
  <si>
    <t>Mike  Guilbert</t>
  </si>
  <si>
    <t>Oliver Fuller</t>
  </si>
  <si>
    <t>Olly Martin</t>
  </si>
  <si>
    <t>Rajneel Kumar Mangal</t>
  </si>
  <si>
    <t>Owen  Strawbridge</t>
  </si>
  <si>
    <t>Rachel Luo</t>
  </si>
  <si>
    <t>Prasheel P Nadan</t>
  </si>
  <si>
    <t>Praneta Sharma</t>
  </si>
  <si>
    <t>Pranav Kamble</t>
  </si>
  <si>
    <t>Porus Dumasia</t>
  </si>
  <si>
    <t>Porus  Dumasia</t>
  </si>
  <si>
    <t>Porous Rising Sun</t>
  </si>
  <si>
    <t>Philip McCall</t>
  </si>
  <si>
    <t>Phenix Lin</t>
  </si>
  <si>
    <t>Peter Smith</t>
  </si>
  <si>
    <t>Peter Liu</t>
  </si>
  <si>
    <t>Peter De Jong</t>
  </si>
  <si>
    <t>Peter  Ivan VIDOVICH</t>
  </si>
  <si>
    <t>Perry  Kim</t>
  </si>
  <si>
    <t>Pavan Pillay</t>
  </si>
  <si>
    <t>Paul Reeves</t>
  </si>
  <si>
    <t>Paul McHardy</t>
  </si>
  <si>
    <t>Paul King</t>
  </si>
  <si>
    <t>Paul John  AALBERS</t>
  </si>
  <si>
    <t>Paul Griffin</t>
  </si>
  <si>
    <t>Paul Frazer</t>
  </si>
  <si>
    <t>Paul Davis</t>
  </si>
  <si>
    <t>Paul Connor</t>
  </si>
  <si>
    <t>Paul  Kueh</t>
  </si>
  <si>
    <t>Patrick  Warwick</t>
  </si>
  <si>
    <t>Parth  Dhimar</t>
  </si>
  <si>
    <t>Michelle Xu</t>
  </si>
  <si>
    <t>Michelle Foley</t>
  </si>
  <si>
    <t>Michael Yu</t>
  </si>
  <si>
    <t xml:space="preserve">Malachai Maoate </t>
  </si>
  <si>
    <t>Maeakafa Tuinukuafe</t>
  </si>
  <si>
    <t>Lydia de Haan</t>
  </si>
  <si>
    <t>Lydia Colmar Pierard</t>
  </si>
  <si>
    <t>Lulu Liu</t>
  </si>
  <si>
    <t>Luka Abouelezz</t>
  </si>
  <si>
    <t>Logan James</t>
  </si>
  <si>
    <t>Logan Holmes</t>
  </si>
  <si>
    <t>Logan  Keane</t>
  </si>
  <si>
    <t>Leonie Nash</t>
  </si>
  <si>
    <t>Leona Bao</t>
  </si>
  <si>
    <t>Leona  Thompson</t>
  </si>
  <si>
    <t>Lance Zonneveld</t>
  </si>
  <si>
    <t>Lance Gillon</t>
  </si>
  <si>
    <t>Lael Silby</t>
  </si>
  <si>
    <t>Kirsty Whiting</t>
  </si>
  <si>
    <t xml:space="preserve">Kirsty Harrington </t>
  </si>
  <si>
    <t>Kieran Wilson</t>
  </si>
  <si>
    <t>Kieran Aashford</t>
  </si>
  <si>
    <t>Khue Chu</t>
  </si>
  <si>
    <t>Ken Jiang</t>
  </si>
  <si>
    <t>Keira Shi</t>
  </si>
  <si>
    <t>Keegan Anderson</t>
  </si>
  <si>
    <t>Katie  Cato</t>
  </si>
  <si>
    <t>Mana Mckenzie</t>
  </si>
  <si>
    <t>Mandeep singh Dandwal</t>
  </si>
  <si>
    <t>Mandy Harrison</t>
  </si>
  <si>
    <t>Matthew McKenzie</t>
  </si>
  <si>
    <t>Michael Rothus</t>
  </si>
  <si>
    <t>Michael Narayan</t>
  </si>
  <si>
    <t>Michael Malloy</t>
  </si>
  <si>
    <t>Michael Laszlo</t>
  </si>
  <si>
    <t xml:space="preserve">Michael James WARE </t>
  </si>
  <si>
    <t>Michael Atkinson</t>
  </si>
  <si>
    <t>Mercedes  Regis-Brannigan</t>
  </si>
  <si>
    <t>Melvin Riley</t>
  </si>
  <si>
    <t>Megan Lamont</t>
  </si>
  <si>
    <t>Matthew Ray  DACKERS</t>
  </si>
  <si>
    <t>Maninder Singh</t>
  </si>
  <si>
    <t xml:space="preserve">Matiu Te Kani-McQueen </t>
  </si>
  <si>
    <t>Mate Stanisich</t>
  </si>
  <si>
    <t>Mat Moore</t>
  </si>
  <si>
    <t>Mason Mei</t>
  </si>
  <si>
    <t>Mark Wilson</t>
  </si>
  <si>
    <t xml:space="preserve">Mark Lindsay </t>
  </si>
  <si>
    <t>Mark Bindon</t>
  </si>
  <si>
    <t>Mark Berryman</t>
  </si>
  <si>
    <t>Mario Ozich</t>
  </si>
  <si>
    <t>Marcus Gadd</t>
  </si>
  <si>
    <t>Manolo  HOFMANN</t>
  </si>
  <si>
    <t>Manish Ashokkumar Kemkar</t>
  </si>
  <si>
    <t>Raewyn Stanaway</t>
  </si>
  <si>
    <t>Aaron  Alexander</t>
  </si>
  <si>
    <t>Todd Douglas</t>
  </si>
  <si>
    <t>Tim Werry</t>
  </si>
  <si>
    <t>Tim Scott</t>
  </si>
  <si>
    <t>Teige Sherwood</t>
  </si>
  <si>
    <t>Tara Nolan</t>
  </si>
  <si>
    <t>Tania Lipsham</t>
  </si>
  <si>
    <t>TANIA LIPSHAM</t>
  </si>
  <si>
    <t>Sung  Yeol PARK</t>
  </si>
  <si>
    <t>Sumit  Negi</t>
  </si>
  <si>
    <t>Sue Ataie</t>
  </si>
  <si>
    <t>Su Hyun Park</t>
  </si>
  <si>
    <t>Steve Gray</t>
  </si>
  <si>
    <t>Steve Garvey</t>
  </si>
  <si>
    <t>Steve Brackebush</t>
  </si>
  <si>
    <t>STEVE BRACKEBUSH</t>
  </si>
  <si>
    <t>Stephen Wu</t>
  </si>
  <si>
    <t>Stephen Jeffels</t>
  </si>
  <si>
    <t>Stephen Eachus</t>
  </si>
  <si>
    <t>Stanley Zhang</t>
  </si>
  <si>
    <t>Stacey O'Connor</t>
  </si>
  <si>
    <t>Sophie Wu</t>
  </si>
  <si>
    <t>Sophie Elgar</t>
  </si>
  <si>
    <t>Sonny .</t>
  </si>
  <si>
    <t>Toby Tisley</t>
  </si>
  <si>
    <t xml:space="preserve">Tom Wyse </t>
  </si>
  <si>
    <t>Ralph Hill</t>
  </si>
  <si>
    <t>Tommy  Macdonald</t>
  </si>
  <si>
    <t>Xiaoping Li</t>
  </si>
  <si>
    <t>Wok Stehr</t>
  </si>
  <si>
    <t>William Shi</t>
  </si>
  <si>
    <t>Wendy King</t>
  </si>
  <si>
    <t>Wei Zhang</t>
  </si>
  <si>
    <t>Wayne Loader</t>
  </si>
  <si>
    <t>Warren Adolph</t>
  </si>
  <si>
    <t xml:space="preserve">WAN CHEM HOW </t>
  </si>
  <si>
    <t>Wade Eatts</t>
  </si>
  <si>
    <t>Vishwa Nadan</t>
  </si>
  <si>
    <t>Vincent Uys</t>
  </si>
  <si>
    <t>Vikki Smith</t>
  </si>
  <si>
    <t>Victor Shum</t>
  </si>
  <si>
    <t>Victor .</t>
  </si>
  <si>
    <t>Vaughn McInnes</t>
  </si>
  <si>
    <t>Varun Varghese</t>
  </si>
  <si>
    <t>Valentin Vadeanu</t>
  </si>
  <si>
    <t>Vaclav Zeman</t>
  </si>
  <si>
    <t>Tysen Kay</t>
  </si>
  <si>
    <t>Troy Jury</t>
  </si>
  <si>
    <t>Trevor Jull</t>
  </si>
  <si>
    <t>Travis Fu</t>
  </si>
  <si>
    <t>Tony Major</t>
  </si>
  <si>
    <t>Toni Hammond</t>
  </si>
  <si>
    <t>Toni Elliott</t>
  </si>
  <si>
    <t>Sonia Thawani</t>
  </si>
  <si>
    <t>Soane Wainiqolo</t>
  </si>
  <si>
    <t>Smeet  Girish</t>
  </si>
  <si>
    <t>Sam Loughnan</t>
  </si>
  <si>
    <t>Sam Alrdini</t>
  </si>
  <si>
    <t>Sam Allen</t>
  </si>
  <si>
    <t>Ryan Trainor</t>
  </si>
  <si>
    <t>Ryan Smith</t>
  </si>
  <si>
    <t>Ryan Palmer</t>
  </si>
  <si>
    <t>Ryan Daniels</t>
  </si>
  <si>
    <t>Ryan  Le Poidevin</t>
  </si>
  <si>
    <t>Rupert Copping</t>
  </si>
  <si>
    <t>Ruby Huang</t>
  </si>
  <si>
    <t>Ronald Smith</t>
  </si>
  <si>
    <t xml:space="preserve">Roel Gobenciong </t>
  </si>
  <si>
    <t>Rodrigo Seixas</t>
  </si>
  <si>
    <t>Rodger Scott</t>
  </si>
  <si>
    <t>Rishi SINGH</t>
  </si>
  <si>
    <t>Richard Clancy</t>
  </si>
  <si>
    <t>Richard Chivers</t>
  </si>
  <si>
    <t>Richard   SCOTT</t>
  </si>
  <si>
    <t>Rhys Langston</t>
  </si>
  <si>
    <t>Rhiannon Kovacevich</t>
  </si>
  <si>
    <t>Rhiannon  Kovacevich</t>
  </si>
  <si>
    <t>Rena Te Maro</t>
  </si>
  <si>
    <t>Reginald Anand</t>
  </si>
  <si>
    <t>Ranveer Chouhan</t>
  </si>
  <si>
    <t>Samantha Spratt</t>
  </si>
  <si>
    <t>Samuel  Hines</t>
  </si>
  <si>
    <t>Sandy Jackson</t>
  </si>
  <si>
    <t>Shaun Blackledge</t>
  </si>
  <si>
    <t>Simon York</t>
  </si>
  <si>
    <t>Simon Muirhead</t>
  </si>
  <si>
    <t>Sim Khor</t>
  </si>
  <si>
    <t>Silas Coster</t>
  </si>
  <si>
    <t>Sian McIntosh</t>
  </si>
  <si>
    <t>Sherwin Cordero</t>
  </si>
  <si>
    <t>Sherry Yang</t>
  </si>
  <si>
    <t>Shen (Shengxiong) ZHENG</t>
  </si>
  <si>
    <t>Shelly Leahair</t>
  </si>
  <si>
    <t>Sheila Boddington</t>
  </si>
  <si>
    <t>Shawn Deng</t>
  </si>
  <si>
    <t>Shaun Pearce</t>
  </si>
  <si>
    <t>Sharon Cunningham</t>
  </si>
  <si>
    <t>Sara Beaty</t>
  </si>
  <si>
    <t>Shane Delowe</t>
  </si>
  <si>
    <t>Shamil Yakub GUJARATI</t>
  </si>
  <si>
    <t>Shakoor Buildline</t>
  </si>
  <si>
    <t>Seren Ball</t>
  </si>
  <si>
    <t>Sean Hall</t>
  </si>
  <si>
    <t>Scott Williams</t>
  </si>
  <si>
    <t>Scott Ross</t>
  </si>
  <si>
    <t>Scott Duncan</t>
  </si>
  <si>
    <t>Scott Cassidy</t>
  </si>
  <si>
    <t>Scott Blakelock</t>
  </si>
  <si>
    <t>Katherine Park</t>
  </si>
  <si>
    <t>Karyn .</t>
  </si>
  <si>
    <t xml:space="preserve">Clark D. Bainbridge </t>
  </si>
  <si>
    <t>Claire Erceg</t>
  </si>
  <si>
    <t>Christy Tan</t>
  </si>
  <si>
    <t>Chris Yeum</t>
  </si>
  <si>
    <t>Chris Duke</t>
  </si>
  <si>
    <t>Chris  Shaw</t>
  </si>
  <si>
    <t xml:space="preserve">Charlotte  Kiddie  </t>
  </si>
  <si>
    <t>Chanelle  Fenton</t>
  </si>
  <si>
    <t xml:space="preserve">Chad  Horanyi </t>
  </si>
  <si>
    <t>Catherine Wong</t>
  </si>
  <si>
    <t>Carlena Seagers</t>
  </si>
  <si>
    <t>Carl Goodwin</t>
  </si>
  <si>
    <t xml:space="preserve">Campbell Upton </t>
  </si>
  <si>
    <t>Cameron Bell</t>
  </si>
  <si>
    <t>Cameron  George Evans</t>
  </si>
  <si>
    <t>Bryan Spinetto</t>
  </si>
  <si>
    <t>Bronnie Williams</t>
  </si>
  <si>
    <t>Brian Cervantes</t>
  </si>
  <si>
    <t>BRETT SAXON</t>
  </si>
  <si>
    <t xml:space="preserve">Brett  La Hood </t>
  </si>
  <si>
    <t>Bret Robinson</t>
  </si>
  <si>
    <t>Brent Morris</t>
  </si>
  <si>
    <t>Brayn Spinetto</t>
  </si>
  <si>
    <t>Braedyn Durbin</t>
  </si>
  <si>
    <t>Brad Watts</t>
  </si>
  <si>
    <t>Brad Stoddard</t>
  </si>
  <si>
    <t>Claire Paratene</t>
  </si>
  <si>
    <t>Clayton  Stanley-Gonsalves</t>
  </si>
  <si>
    <t>EAMMON O'BRIEN</t>
  </si>
  <si>
    <t>Cole Philips</t>
  </si>
  <si>
    <t>Donny Chan</t>
  </si>
  <si>
    <t>Don Wotherspoon</t>
  </si>
  <si>
    <t>Dominic .</t>
  </si>
  <si>
    <t>Dion Hurinui</t>
  </si>
  <si>
    <t>Dillon O'Leary</t>
  </si>
  <si>
    <t>Devin Webber</t>
  </si>
  <si>
    <t>Denise Robson</t>
  </si>
  <si>
    <t>Debbie Lyons</t>
  </si>
  <si>
    <t>Dawn Ding</t>
  </si>
  <si>
    <t>David Stark</t>
  </si>
  <si>
    <t xml:space="preserve">David Phillips </t>
  </si>
  <si>
    <t>David  Rodrigues</t>
  </si>
  <si>
    <t>Dave Patience</t>
  </si>
  <si>
    <t>Dave Ching</t>
  </si>
  <si>
    <t>Darryll CHRISTIAN</t>
  </si>
  <si>
    <t>Darrel Assink</t>
  </si>
  <si>
    <t>Darin Cobb</t>
  </si>
  <si>
    <t>Danielle Smith</t>
  </si>
  <si>
    <t>Daniel Kimpton</t>
  </si>
  <si>
    <t>Daniel Hawke-Mills</t>
  </si>
  <si>
    <t>Daniel Gunnell</t>
  </si>
  <si>
    <t>Daniel  Park</t>
  </si>
  <si>
    <t>Dan Faulkner</t>
  </si>
  <si>
    <t>Dale Black</t>
  </si>
  <si>
    <t>Dale  C. Bainbridge</t>
  </si>
  <si>
    <t>Craig Lawrence</t>
  </si>
  <si>
    <t>Bodie Tasker</t>
  </si>
  <si>
    <t>Blake Cooper</t>
  </si>
  <si>
    <t>Bill Zhao</t>
  </si>
  <si>
    <t>Angela Doran</t>
  </si>
  <si>
    <t>Andy Warren</t>
  </si>
  <si>
    <t xml:space="preserve">Andy &amp; Carol van der Salm </t>
  </si>
  <si>
    <t>Andrew Randell</t>
  </si>
  <si>
    <t>Andrew Porteous</t>
  </si>
  <si>
    <t>Andrew Liang</t>
  </si>
  <si>
    <t>Andrew  Havill</t>
  </si>
  <si>
    <t>Andreea Gradinaru</t>
  </si>
  <si>
    <t>Andrea Martin</t>
  </si>
  <si>
    <t>Andre Budd</t>
  </si>
  <si>
    <t xml:space="preserve">Amy Boroevich </t>
  </si>
  <si>
    <t>Amber Marchant</t>
  </si>
  <si>
    <t>Amanda Ball</t>
  </si>
  <si>
    <t>Alvin Xia</t>
  </si>
  <si>
    <t>Alvin Manukia</t>
  </si>
  <si>
    <t>Allyce Clifton</t>
  </si>
  <si>
    <t>Alice Ni</t>
  </si>
  <si>
    <t>Alfred Mucunabitu</t>
  </si>
  <si>
    <t>Alfred Hunt</t>
  </si>
  <si>
    <t>Albert Nipper</t>
  </si>
  <si>
    <t xml:space="preserve">Alastair Kellett </t>
  </si>
  <si>
    <t>Agnes  Asini</t>
  </si>
  <si>
    <t xml:space="preserve">Adam Porter </t>
  </si>
  <si>
    <t>Angela Rolston</t>
  </si>
  <si>
    <t>Anil Jasmat</t>
  </si>
  <si>
    <t>Ankit Vaid</t>
  </si>
  <si>
    <t>Behzad Kanani</t>
  </si>
  <si>
    <t>Bill Lee</t>
  </si>
  <si>
    <t>Bev Saxson</t>
  </si>
  <si>
    <t>Benny Griffiths</t>
  </si>
  <si>
    <t>Ben Upperton</t>
  </si>
  <si>
    <t>Ben Lewis</t>
  </si>
  <si>
    <t>Ben Holland</t>
  </si>
  <si>
    <t>Ben Holdich</t>
  </si>
  <si>
    <t>Ben Gibbens</t>
  </si>
  <si>
    <t>Ben Cooper</t>
  </si>
  <si>
    <t>Ben Bos</t>
  </si>
  <si>
    <t>Ben  Mullane</t>
  </si>
  <si>
    <t xml:space="preserve">Ben  Long </t>
  </si>
  <si>
    <t>Barry  Page</t>
  </si>
  <si>
    <t>Anne-Marie</t>
  </si>
  <si>
    <t xml:space="preserve">Barend Davis </t>
  </si>
  <si>
    <t>Barbara Salazar</t>
  </si>
  <si>
    <t>Azad Yousifi</t>
  </si>
  <si>
    <t>Atul Arora</t>
  </si>
  <si>
    <t>Ashley Silveira</t>
  </si>
  <si>
    <t>Ariel  Zhang</t>
  </si>
  <si>
    <t>Anya  Sheffieid</t>
  </si>
  <si>
    <t>Anton Aalders</t>
  </si>
  <si>
    <t>Anthony Robb</t>
  </si>
  <si>
    <t>Anthony Mcrae</t>
  </si>
  <si>
    <t>Ant Fortheringhame</t>
  </si>
  <si>
    <t>Anne-Marie Coxhead</t>
  </si>
  <si>
    <t>Karl Nicholas</t>
  </si>
  <si>
    <t>Doug Tauiwi</t>
  </si>
  <si>
    <t>Earl Pantaleon</t>
  </si>
  <si>
    <t>Edward Pineda</t>
  </si>
  <si>
    <t>Jim Kinmond</t>
  </si>
  <si>
    <t>Jim Gleeson</t>
  </si>
  <si>
    <t>Jessica .</t>
  </si>
  <si>
    <t>Jess Thomas</t>
  </si>
  <si>
    <t>Jess Somebody</t>
  </si>
  <si>
    <t>Jeremy Luo</t>
  </si>
  <si>
    <t>Jeremy Lewis</t>
  </si>
  <si>
    <t>Jenny  Rollinson</t>
  </si>
  <si>
    <t>Jennifer Liao</t>
  </si>
  <si>
    <t>Jennifer Douglas</t>
  </si>
  <si>
    <t>Jen Draper</t>
  </si>
  <si>
    <t>Jed Raddaly</t>
  </si>
  <si>
    <t>Jaynie Ball</t>
  </si>
  <si>
    <t>Jay Terry LORENZEN</t>
  </si>
  <si>
    <t>Jay Owen</t>
  </si>
  <si>
    <t>Jasper Morrison</t>
  </si>
  <si>
    <t>Jason Wech</t>
  </si>
  <si>
    <t>Jason Kemble</t>
  </si>
  <si>
    <t>Jason Barry</t>
  </si>
  <si>
    <t>Jasnish Gujral</t>
  </si>
  <si>
    <t>Jarrod Angrove</t>
  </si>
  <si>
    <t>Janitha Madushani</t>
  </si>
  <si>
    <t>Jamie Barrow</t>
  </si>
  <si>
    <t>James Song</t>
  </si>
  <si>
    <t>James May</t>
  </si>
  <si>
    <t xml:space="preserve">Jim Kinmond </t>
  </si>
  <si>
    <t>Jiten Patel</t>
  </si>
  <si>
    <t>Jodi Hodgetts</t>
  </si>
  <si>
    <t>Jove Jia</t>
  </si>
  <si>
    <t>Karl  Sampson</t>
  </si>
  <si>
    <t>Karen Wei</t>
  </si>
  <si>
    <t>Kameron Chand</t>
  </si>
  <si>
    <t xml:space="preserve">Kail  Cowan </t>
  </si>
  <si>
    <t>Justin Gardien</t>
  </si>
  <si>
    <t>Jun Shi</t>
  </si>
  <si>
    <t>Julie Brons</t>
  </si>
  <si>
    <t>Julian  Leighton</t>
  </si>
  <si>
    <t>Julia Fong</t>
  </si>
  <si>
    <t>Joshua Staples</t>
  </si>
  <si>
    <t>Joe      Scarlett</t>
  </si>
  <si>
    <t>Joshua Mills</t>
  </si>
  <si>
    <t>Joshua Adam GRANT</t>
  </si>
  <si>
    <t>Josh Hilton-Jones</t>
  </si>
  <si>
    <t>Josh Hilton Jones</t>
  </si>
  <si>
    <t>John Grant</t>
  </si>
  <si>
    <t>John Cole</t>
  </si>
  <si>
    <t>John  Drummond</t>
  </si>
  <si>
    <t>Johan Massyn</t>
  </si>
  <si>
    <t>Joey Barnett</t>
  </si>
  <si>
    <t>Joel Macreadie</t>
  </si>
  <si>
    <t>Joe  Tiplady</t>
  </si>
  <si>
    <t>James Lu</t>
  </si>
  <si>
    <t>James Ciurlionis</t>
  </si>
  <si>
    <t>James Braddock</t>
  </si>
  <si>
    <t>James  Hosking</t>
  </si>
  <si>
    <t>Grant  MACPHERSON,</t>
  </si>
  <si>
    <t>Graham Cooper</t>
  </si>
  <si>
    <t>Graham Byron</t>
  </si>
  <si>
    <t>Glenn Smith</t>
  </si>
  <si>
    <t>Glen Hunter</t>
  </si>
  <si>
    <t>Glen Holt</t>
  </si>
  <si>
    <t>Gilbert Xie</t>
  </si>
  <si>
    <t>Geoff Silvester</t>
  </si>
  <si>
    <t>Geoff Judd</t>
  </si>
  <si>
    <t>Gavin Bindon</t>
  </si>
  <si>
    <t>Gary Roosenbrand</t>
  </si>
  <si>
    <t>Garry Mitri</t>
  </si>
  <si>
    <t>Gagan Deep Gupta</t>
  </si>
  <si>
    <t>Frederic Lee</t>
  </si>
  <si>
    <t>Frank Song</t>
  </si>
  <si>
    <t>Florin Diaconescu</t>
  </si>
  <si>
    <t>Feroz Mohammed</t>
  </si>
  <si>
    <t>Fang Dong</t>
  </si>
  <si>
    <t>Evan Jiang</t>
  </si>
  <si>
    <t>Ernie  Hogg</t>
  </si>
  <si>
    <t>Emran(Jay) Zeidan</t>
  </si>
  <si>
    <t>Emma Bolton</t>
  </si>
  <si>
    <t>Elliot Zhao</t>
  </si>
  <si>
    <t>Ella Redmond</t>
  </si>
  <si>
    <t>Edwin Yang</t>
  </si>
  <si>
    <t>Edwin Cruz</t>
  </si>
  <si>
    <t>Grant Douglas Richards</t>
  </si>
  <si>
    <t>Grant Goodwin</t>
  </si>
  <si>
    <t>Grant James MARWICK</t>
  </si>
  <si>
    <t>Grant Phillips</t>
  </si>
  <si>
    <t>Jake Huang</t>
  </si>
  <si>
    <t xml:space="preserve">Jacqui Baker </t>
  </si>
  <si>
    <t>Jacob Goodwin</t>
  </si>
  <si>
    <t>Jackson Ogle</t>
  </si>
  <si>
    <t>Jackson McDougall</t>
  </si>
  <si>
    <t>Jackie He</t>
  </si>
  <si>
    <t>Issac Fa'alogo</t>
  </si>
  <si>
    <t>Isaac Driver</t>
  </si>
  <si>
    <t>Irene Bessey</t>
  </si>
  <si>
    <t>Inna Goodwin</t>
  </si>
  <si>
    <t xml:space="preserve">Ian  Morrow </t>
  </si>
  <si>
    <t>Hugh Nisbet</t>
  </si>
  <si>
    <t>Hestrie Els</t>
  </si>
  <si>
    <t>Hester Li</t>
  </si>
  <si>
    <t>Henry Dunham</t>
  </si>
  <si>
    <t>Heinreck .</t>
  </si>
  <si>
    <t>Hayden Allan</t>
  </si>
  <si>
    <t>Harpreet Singh</t>
  </si>
  <si>
    <t>Hardeep Singh</t>
  </si>
  <si>
    <t>Hannah Tillman</t>
  </si>
  <si>
    <t>Hannah Irwin</t>
  </si>
  <si>
    <t>Guy Ross</t>
  </si>
  <si>
    <t>Gus Dobson</t>
  </si>
  <si>
    <t>Greg Slade</t>
  </si>
  <si>
    <t>Yolanda Havenga</t>
  </si>
  <si>
    <t>Trevor PM</t>
  </si>
  <si>
    <t>Ben Mullane</t>
  </si>
  <si>
    <t>Primary Contact</t>
  </si>
  <si>
    <t>Property Manager</t>
  </si>
  <si>
    <t>Project Management</t>
  </si>
  <si>
    <t>Secondary Contact</t>
  </si>
  <si>
    <t>Quantity Surveyor</t>
  </si>
  <si>
    <t>QS Manager</t>
  </si>
  <si>
    <t>Office Manager</t>
  </si>
  <si>
    <t>Site Contact</t>
  </si>
  <si>
    <t>Estimator</t>
  </si>
  <si>
    <t>Administrator</t>
  </si>
  <si>
    <t>Account Manager</t>
  </si>
  <si>
    <t>Director</t>
  </si>
  <si>
    <t>New Home Consultant</t>
  </si>
  <si>
    <t>021 277 6612</t>
  </si>
  <si>
    <t>021 959 761</t>
  </si>
  <si>
    <t>021435338</t>
  </si>
  <si>
    <t>021 754 709</t>
  </si>
  <si>
    <t>021489648</t>
  </si>
  <si>
    <t>027 533 3240</t>
  </si>
  <si>
    <t>022 4109 771</t>
  </si>
  <si>
    <t>0224190080</t>
  </si>
  <si>
    <t>021 168 2757</t>
  </si>
  <si>
    <t>021 446 037</t>
  </si>
  <si>
    <t>021 234 3431</t>
  </si>
  <si>
    <t>021 554 506</t>
  </si>
  <si>
    <t>021 900 532</t>
  </si>
  <si>
    <t>027 555 0720</t>
  </si>
  <si>
    <t>022 3742645</t>
  </si>
  <si>
    <t>06.4204E+11</t>
  </si>
  <si>
    <t>021 591 006</t>
  </si>
  <si>
    <t>027 439 5521</t>
  </si>
  <si>
    <t>021 294 6857</t>
  </si>
  <si>
    <t>02102243713</t>
  </si>
  <si>
    <t>0 21 967 798</t>
  </si>
  <si>
    <t>02108370700</t>
  </si>
  <si>
    <t>027 5297 853</t>
  </si>
  <si>
    <t>021993180</t>
  </si>
  <si>
    <t>021 313 599</t>
  </si>
  <si>
    <t>021965616</t>
  </si>
  <si>
    <t>027 563 9578</t>
  </si>
  <si>
    <t>0272145661</t>
  </si>
  <si>
    <t>02102531089</t>
  </si>
  <si>
    <t>021 875 368</t>
  </si>
  <si>
    <t>0224139832</t>
  </si>
  <si>
    <t>0276066 356</t>
  </si>
  <si>
    <t>027 567 4348</t>
  </si>
  <si>
    <t>0(0)22 6273 422</t>
  </si>
  <si>
    <t>0 27 663 4533</t>
  </si>
  <si>
    <t>0211067389</t>
  </si>
  <si>
    <t>027 2017670</t>
  </si>
  <si>
    <t>0274954459</t>
  </si>
  <si>
    <t>021 46 1616</t>
  </si>
  <si>
    <t>021 02027784</t>
  </si>
  <si>
    <t>021 02250822</t>
  </si>
  <si>
    <t>021985474</t>
  </si>
  <si>
    <t>022 344 9545</t>
  </si>
  <si>
    <t>021777152</t>
  </si>
  <si>
    <t>0272931732</t>
  </si>
  <si>
    <t>022 491 2928</t>
  </si>
  <si>
    <t>021 0270 1360</t>
  </si>
  <si>
    <t>022 027 4857</t>
  </si>
  <si>
    <t>020 413 93369</t>
  </si>
  <si>
    <t>0226583139</t>
  </si>
  <si>
    <t>0221128762</t>
  </si>
  <si>
    <t>021 475 887</t>
  </si>
  <si>
    <t>0276472016</t>
  </si>
  <si>
    <t>027 586 3933</t>
  </si>
  <si>
    <t>027 260 1149</t>
  </si>
  <si>
    <t>021 0876 8574</t>
  </si>
  <si>
    <t>0272651432</t>
  </si>
  <si>
    <t>022 646 5455</t>
  </si>
  <si>
    <t>021 313 091</t>
  </si>
  <si>
    <t>021 711 194</t>
  </si>
  <si>
    <t>0272298561</t>
  </si>
  <si>
    <t>0 21 542 374</t>
  </si>
  <si>
    <t>027 4044 067</t>
  </si>
  <si>
    <t>0273217685</t>
  </si>
  <si>
    <t>021842569</t>
  </si>
  <si>
    <t>021 841 754</t>
  </si>
  <si>
    <t>021 740 380</t>
  </si>
  <si>
    <t>021 776 062</t>
  </si>
  <si>
    <t>021993508</t>
  </si>
  <si>
    <t>02102686087</t>
  </si>
  <si>
    <t>0 28 437 4296</t>
  </si>
  <si>
    <t>0272127632</t>
  </si>
  <si>
    <t>027 619 5084</t>
  </si>
  <si>
    <t>021 762 454</t>
  </si>
  <si>
    <t>021 435 305</t>
  </si>
  <si>
    <t>0 21 552 411</t>
  </si>
  <si>
    <t>02102475010</t>
  </si>
  <si>
    <t>027 705 9667</t>
  </si>
  <si>
    <t>027 205 6811</t>
  </si>
  <si>
    <t>021 084 57246</t>
  </si>
  <si>
    <t>0272047577</t>
  </si>
  <si>
    <t>021 372 909</t>
  </si>
  <si>
    <t>0274820366</t>
  </si>
  <si>
    <t>0275 361 650</t>
  </si>
  <si>
    <t>022 476 2571</t>
  </si>
  <si>
    <t>0224328135</t>
  </si>
  <si>
    <t>021 646 686</t>
  </si>
  <si>
    <t>0224013275</t>
  </si>
  <si>
    <t>021487404</t>
  </si>
  <si>
    <t>027 221 5953</t>
  </si>
  <si>
    <t>022 045 0077</t>
  </si>
  <si>
    <t>027 205 9589</t>
  </si>
  <si>
    <t>021 478 685</t>
  </si>
  <si>
    <t>027 376 5955</t>
  </si>
  <si>
    <t>021 556 598</t>
  </si>
  <si>
    <t>021 831 021</t>
  </si>
  <si>
    <t>021 993 131</t>
  </si>
  <si>
    <t>021866253</t>
  </si>
  <si>
    <t>021 736 415</t>
  </si>
  <si>
    <t>021 472 839</t>
  </si>
  <si>
    <t>0212596843</t>
  </si>
  <si>
    <t>0272053158</t>
  </si>
  <si>
    <t>021073017</t>
  </si>
  <si>
    <t>022 536 5819</t>
  </si>
  <si>
    <t>027 238 1774</t>
  </si>
  <si>
    <t>027 490 9705</t>
  </si>
  <si>
    <t>021 550 551</t>
  </si>
  <si>
    <t>061415397966</t>
  </si>
  <si>
    <t>021 902 296</t>
  </si>
  <si>
    <t>027 5537643</t>
  </si>
  <si>
    <t>021 158 5465</t>
  </si>
  <si>
    <t>021312253</t>
  </si>
  <si>
    <t>0210344177</t>
  </si>
  <si>
    <t>021 482 794</t>
  </si>
  <si>
    <t>027 327 4555</t>
  </si>
  <si>
    <t>021 333 516</t>
  </si>
  <si>
    <t>027 428 2599</t>
  </si>
  <si>
    <t>021 221 7778</t>
  </si>
  <si>
    <t>021 229 8480</t>
  </si>
  <si>
    <t>021 1753413</t>
  </si>
  <si>
    <t>0210402317</t>
  </si>
  <si>
    <t>0 27 5469424</t>
  </si>
  <si>
    <t>022 329 1214</t>
  </si>
  <si>
    <t>0272566515</t>
  </si>
  <si>
    <t>02102553091</t>
  </si>
  <si>
    <t>021 739 967</t>
  </si>
  <si>
    <t>021 958 218</t>
  </si>
  <si>
    <t>021 803 153</t>
  </si>
  <si>
    <t>021988456</t>
  </si>
  <si>
    <t>021939008</t>
  </si>
  <si>
    <t>021 336 124</t>
  </si>
  <si>
    <t>0274698001</t>
  </si>
  <si>
    <t>0 21 999310</t>
  </si>
  <si>
    <t>021 150 1178</t>
  </si>
  <si>
    <t>021 242 4566</t>
  </si>
  <si>
    <t>021 228 1991</t>
  </si>
  <si>
    <t>027 2233 764</t>
  </si>
  <si>
    <t>021 347 063</t>
  </si>
  <si>
    <t>021 143 1692</t>
  </si>
  <si>
    <t>02102397519</t>
  </si>
  <si>
    <t>021 983 493</t>
  </si>
  <si>
    <t>021 046 5051</t>
  </si>
  <si>
    <t>027 263 7528</t>
  </si>
  <si>
    <t>021 0762068</t>
  </si>
  <si>
    <t>0212170003</t>
  </si>
  <si>
    <t>0 21 02402395</t>
  </si>
  <si>
    <t>0274 966501</t>
  </si>
  <si>
    <t>021 727 399</t>
  </si>
  <si>
    <t>021 620 329</t>
  </si>
  <si>
    <t>09 8156800</t>
  </si>
  <si>
    <t>0211640033</t>
  </si>
  <si>
    <t>021777081</t>
  </si>
  <si>
    <t>0212 777 975</t>
  </si>
  <si>
    <t>021 782 110</t>
  </si>
  <si>
    <t>0275911695</t>
  </si>
  <si>
    <t>027 390 3488</t>
  </si>
  <si>
    <t>0275753815</t>
  </si>
  <si>
    <t>021515231</t>
  </si>
  <si>
    <t>0 22 646 5455</t>
  </si>
  <si>
    <t>022 043 3443</t>
  </si>
  <si>
    <t>021 294 3136</t>
  </si>
  <si>
    <t>020 41395031</t>
  </si>
  <si>
    <t>0212351471</t>
  </si>
  <si>
    <t>0 21 115 1806</t>
  </si>
  <si>
    <t>0212788767</t>
  </si>
  <si>
    <t>021 809 290</t>
  </si>
  <si>
    <t>021 609 137</t>
  </si>
  <si>
    <t>027 343 4077</t>
  </si>
  <si>
    <t>021334770</t>
  </si>
  <si>
    <t>027 622 6342</t>
  </si>
  <si>
    <t>021 726 871</t>
  </si>
  <si>
    <t>021993182</t>
  </si>
  <si>
    <t>0276200051</t>
  </si>
  <si>
    <t>027 697 9372</t>
  </si>
  <si>
    <t>022 010 5686</t>
  </si>
  <si>
    <t>0211778876</t>
  </si>
  <si>
    <t>0211631099</t>
  </si>
  <si>
    <t>021 612 380</t>
  </si>
  <si>
    <t>021 983 583</t>
  </si>
  <si>
    <t>0 27 5296269</t>
  </si>
  <si>
    <t>0211 8611 51</t>
  </si>
  <si>
    <t>022 135 0646</t>
  </si>
  <si>
    <t>021313705</t>
  </si>
  <si>
    <t>0210610151</t>
  </si>
  <si>
    <t>021 295 6174</t>
  </si>
  <si>
    <t>021995736</t>
  </si>
  <si>
    <t>021 953 700</t>
  </si>
  <si>
    <t>021 208 3796</t>
  </si>
  <si>
    <t>021488990</t>
  </si>
  <si>
    <t>0275112500</t>
  </si>
  <si>
    <t>027 51 444 71</t>
  </si>
  <si>
    <t>022 6007868</t>
  </si>
  <si>
    <t>09 887 7420</t>
  </si>
  <si>
    <t>027 406 5146</t>
  </si>
  <si>
    <t>0211280989</t>
  </si>
  <si>
    <t>0278386775</t>
  </si>
  <si>
    <t>021 454 161</t>
  </si>
  <si>
    <t>027 327 5922</t>
  </si>
  <si>
    <t>0211215964</t>
  </si>
  <si>
    <t>021 168 0689</t>
  </si>
  <si>
    <t>021934549</t>
  </si>
  <si>
    <t>021 114 3293</t>
  </si>
  <si>
    <t>027 581 7337</t>
  </si>
  <si>
    <t>0275350622</t>
  </si>
  <si>
    <t>021 1144161</t>
  </si>
  <si>
    <t>027 2246 5095</t>
  </si>
  <si>
    <t>021 225 6989</t>
  </si>
  <si>
    <t>021435357</t>
  </si>
  <si>
    <t>021711967</t>
  </si>
  <si>
    <t>027 393 6099</t>
  </si>
  <si>
    <t>0274663433</t>
  </si>
  <si>
    <t>022 6423027</t>
  </si>
  <si>
    <t>021 0388 671</t>
  </si>
  <si>
    <t>021 02756381</t>
  </si>
  <si>
    <t>021955034</t>
  </si>
  <si>
    <t>021 330 288</t>
  </si>
  <si>
    <t>021878318</t>
  </si>
  <si>
    <t>021 905280</t>
  </si>
  <si>
    <t>027 279 3260</t>
  </si>
  <si>
    <t>022 465 1122</t>
  </si>
  <si>
    <t>027 286 5311</t>
  </si>
  <si>
    <t>02102909994</t>
  </si>
  <si>
    <t>021 274 5600</t>
  </si>
  <si>
    <t>021 183 6488</t>
  </si>
  <si>
    <t>021905280</t>
  </si>
  <si>
    <t>027 269 6658</t>
  </si>
  <si>
    <t>021 845 294</t>
  </si>
  <si>
    <t>0274466596</t>
  </si>
  <si>
    <t>0211630197</t>
  </si>
  <si>
    <t>0 212687004</t>
  </si>
  <si>
    <t>021 849 208</t>
  </si>
  <si>
    <t>0274 748 649</t>
  </si>
  <si>
    <t>021 508686</t>
  </si>
  <si>
    <t>021 054 6131</t>
  </si>
  <si>
    <t>0211 375 444</t>
  </si>
  <si>
    <t>02102730326</t>
  </si>
  <si>
    <t>027 271 6244</t>
  </si>
  <si>
    <t>0272444547</t>
  </si>
  <si>
    <t>021 083 94076</t>
  </si>
  <si>
    <t>0226301549</t>
  </si>
  <si>
    <t>027 787 8800</t>
  </si>
  <si>
    <t>0274433594</t>
  </si>
  <si>
    <t>021 876 853</t>
  </si>
  <si>
    <t>021415248</t>
  </si>
  <si>
    <t>0274 539 449</t>
  </si>
  <si>
    <t>021917688</t>
  </si>
  <si>
    <t>021 278 7767</t>
  </si>
  <si>
    <t>027 4985564</t>
  </si>
  <si>
    <t>022 673 8115</t>
  </si>
  <si>
    <t>021 634 611</t>
  </si>
  <si>
    <t>021 288 2322</t>
  </si>
  <si>
    <t>021 026 07657</t>
  </si>
  <si>
    <t>0274900635</t>
  </si>
  <si>
    <t>021 2150 520</t>
  </si>
  <si>
    <t>021 265 6409</t>
  </si>
  <si>
    <t>0 27 6983073</t>
  </si>
  <si>
    <t>0211618188</t>
  </si>
  <si>
    <t>021 510 234</t>
  </si>
  <si>
    <t>021 629 947</t>
  </si>
  <si>
    <t>021 556320</t>
  </si>
  <si>
    <t>0274903747</t>
  </si>
  <si>
    <t>022 194 7492</t>
  </si>
  <si>
    <t>021 1010 838</t>
  </si>
  <si>
    <t>021 591181</t>
  </si>
  <si>
    <t>022 095 1924</t>
  </si>
  <si>
    <t>022 456 5822</t>
  </si>
  <si>
    <t>021 246 3175</t>
  </si>
  <si>
    <t>021 759 507</t>
  </si>
  <si>
    <t>021 886 120</t>
  </si>
  <si>
    <t>0275 914 505</t>
  </si>
  <si>
    <t>027 4065146</t>
  </si>
  <si>
    <t>021 836 268</t>
  </si>
  <si>
    <t>021 544 512</t>
  </si>
  <si>
    <t>021544512</t>
  </si>
  <si>
    <t>0211914869</t>
  </si>
  <si>
    <t>021915161</t>
  </si>
  <si>
    <t>021 0233 0666</t>
  </si>
  <si>
    <t>027 581 7334</t>
  </si>
  <si>
    <t>022 018 4652</t>
  </si>
  <si>
    <t>021 1164055</t>
  </si>
  <si>
    <t>027 2287 139</t>
  </si>
  <si>
    <t>021 828 989</t>
  </si>
  <si>
    <t>0211 270 476</t>
  </si>
  <si>
    <t>064 21 0833 6209</t>
  </si>
  <si>
    <t>022 539 4725</t>
  </si>
  <si>
    <t>021 134 4014</t>
  </si>
  <si>
    <t>021 929 652</t>
  </si>
  <si>
    <t>0211236994</t>
  </si>
  <si>
    <t>0273268912</t>
  </si>
  <si>
    <t>021 026 25848</t>
  </si>
  <si>
    <t>0274994612</t>
  </si>
  <si>
    <t>022 183 1251</t>
  </si>
  <si>
    <t>09 526 9390</t>
  </si>
  <si>
    <t>021 062 2020 56</t>
  </si>
  <si>
    <t>021 911 188</t>
  </si>
  <si>
    <t>027 212 2213</t>
  </si>
  <si>
    <t>021 638 080</t>
  </si>
  <si>
    <t>021 243 0250</t>
  </si>
  <si>
    <t>0225 902 245</t>
  </si>
  <si>
    <t>021413693</t>
  </si>
  <si>
    <t>021660309</t>
  </si>
  <si>
    <t>027 814 4033</t>
  </si>
  <si>
    <t>0225628458</t>
  </si>
  <si>
    <t>09 415 2768</t>
  </si>
  <si>
    <t>022 639 0357</t>
  </si>
  <si>
    <t>021 134 9843</t>
  </si>
  <si>
    <t>021 1349843</t>
  </si>
  <si>
    <t>021 634 766</t>
  </si>
  <si>
    <t>0220388339</t>
  </si>
  <si>
    <t>0212866819</t>
  </si>
  <si>
    <t>022 671 4060</t>
  </si>
  <si>
    <t>020 420 0608</t>
  </si>
  <si>
    <t>0 27 2211546</t>
  </si>
  <si>
    <t>0279422552</t>
  </si>
  <si>
    <t>0226 580 151</t>
  </si>
  <si>
    <t>021 030 6841</t>
  </si>
  <si>
    <t>021 2438964</t>
  </si>
  <si>
    <t>027 388 0066</t>
  </si>
  <si>
    <t>0211193757</t>
  </si>
  <si>
    <t>02102236990</t>
  </si>
  <si>
    <t>027 283 5482</t>
  </si>
  <si>
    <t>021 547 343</t>
  </si>
  <si>
    <t>027 558 4233</t>
  </si>
  <si>
    <t>0 21 179 7199</t>
  </si>
  <si>
    <t>021 227 7690</t>
  </si>
  <si>
    <t>029 123 4900</t>
  </si>
  <si>
    <t>0 21 158 6365</t>
  </si>
  <si>
    <t>021 056 3445</t>
  </si>
  <si>
    <t>02108180857</t>
  </si>
  <si>
    <t>021 08509482</t>
  </si>
  <si>
    <t>021 926948</t>
  </si>
  <si>
    <t>0800 166 966</t>
  </si>
  <si>
    <t>021932666</t>
  </si>
  <si>
    <t>0 21 0700 996</t>
  </si>
  <si>
    <t>0212444776</t>
  </si>
  <si>
    <t>0274 848942</t>
  </si>
  <si>
    <t>021 1030020</t>
  </si>
  <si>
    <t>021 025 21524</t>
  </si>
  <si>
    <t>021407114</t>
  </si>
  <si>
    <t>021 175 4135</t>
  </si>
  <si>
    <t>021 522 500</t>
  </si>
  <si>
    <t>021 20 65 635</t>
  </si>
  <si>
    <t>021 206 5635</t>
  </si>
  <si>
    <t>0274985601</t>
  </si>
  <si>
    <t>021 303622</t>
  </si>
  <si>
    <t>027 4730114</t>
  </si>
  <si>
    <t>027 4243055</t>
  </si>
  <si>
    <t>027 265 8516</t>
  </si>
  <si>
    <t>021 190 0374</t>
  </si>
  <si>
    <t>027 669 2900</t>
  </si>
  <si>
    <t>027 270 0258</t>
  </si>
  <si>
    <t>0 274 063 506</t>
  </si>
  <si>
    <t>0211146465</t>
  </si>
  <si>
    <t>021960162</t>
  </si>
  <si>
    <t>0274587002</t>
  </si>
  <si>
    <t>021 134 9900</t>
  </si>
  <si>
    <t>0274 882 505</t>
  </si>
  <si>
    <t>021 413 799</t>
  </si>
  <si>
    <t>0210438164</t>
  </si>
  <si>
    <t>021 020 88588</t>
  </si>
  <si>
    <t>027 2653277</t>
  </si>
  <si>
    <t>021387543</t>
  </si>
  <si>
    <t>021 878 598</t>
  </si>
  <si>
    <t>021978592</t>
  </si>
  <si>
    <t>021578091</t>
  </si>
  <si>
    <t>0211 130654</t>
  </si>
  <si>
    <t>0278988118</t>
  </si>
  <si>
    <t>0 21 569 635</t>
  </si>
  <si>
    <t>027 201 8309</t>
  </si>
  <si>
    <t>0220693135</t>
  </si>
  <si>
    <t>02041516580</t>
  </si>
  <si>
    <t>094159115</t>
  </si>
  <si>
    <t>021 946 597</t>
  </si>
  <si>
    <t>021 515 854</t>
  </si>
  <si>
    <t>0212986045</t>
  </si>
  <si>
    <t>021937360</t>
  </si>
  <si>
    <t>0 21 070 7813</t>
  </si>
  <si>
    <t>0212227718</t>
  </si>
  <si>
    <t>0274969730</t>
  </si>
  <si>
    <t>021 608 250</t>
  </si>
  <si>
    <t>0212985949</t>
  </si>
  <si>
    <t>021 241 4447</t>
  </si>
  <si>
    <t>0211219168</t>
  </si>
  <si>
    <t>022 3211092</t>
  </si>
  <si>
    <t>0212611563</t>
  </si>
  <si>
    <t>021 1806 228</t>
  </si>
  <si>
    <t>0275457243</t>
  </si>
  <si>
    <t>021 224 4008</t>
  </si>
  <si>
    <t>022 636 0313</t>
  </si>
  <si>
    <t>02102521201</t>
  </si>
  <si>
    <t>027 224 6873</t>
  </si>
  <si>
    <t>021 407 722</t>
  </si>
  <si>
    <t>021 1223 440</t>
  </si>
  <si>
    <t>021 364 556</t>
  </si>
  <si>
    <t>02102565190</t>
  </si>
  <si>
    <t>021 242 4000</t>
  </si>
  <si>
    <t>027 2943335</t>
  </si>
  <si>
    <t>021 992 484</t>
  </si>
  <si>
    <t>0211527252</t>
  </si>
  <si>
    <t>022 185 3800</t>
  </si>
  <si>
    <t>0274299730</t>
  </si>
  <si>
    <t>021 241 3729</t>
  </si>
  <si>
    <t>021 404 585</t>
  </si>
  <si>
    <t>021302584</t>
  </si>
  <si>
    <t>021 886 346</t>
  </si>
  <si>
    <t>021 486 595</t>
  </si>
  <si>
    <t>09 218 7001</t>
  </si>
  <si>
    <t>09 475 5005</t>
  </si>
  <si>
    <t>09 425 1611</t>
  </si>
  <si>
    <t>098152588</t>
  </si>
  <si>
    <t>0(09) 376 2186</t>
  </si>
  <si>
    <t>09 526 5808</t>
  </si>
  <si>
    <t>09 520 5030</t>
  </si>
  <si>
    <t>09 2732467</t>
  </si>
  <si>
    <t>09 929 3199</t>
  </si>
  <si>
    <t>09 926 7764</t>
  </si>
  <si>
    <t>09 444 1183</t>
  </si>
  <si>
    <t>09 846 5777</t>
  </si>
  <si>
    <t>092166044</t>
  </si>
  <si>
    <t>09 600 3355</t>
  </si>
  <si>
    <t>09 427 8395</t>
  </si>
  <si>
    <t>09 212 8660</t>
  </si>
  <si>
    <t>09274 9799</t>
  </si>
  <si>
    <t>09 393 0007</t>
  </si>
  <si>
    <t>0800 880 032</t>
  </si>
  <si>
    <t>09 309 0780</t>
  </si>
  <si>
    <t>0 9 415 9115</t>
  </si>
  <si>
    <t>09 415 2727 extension 751</t>
  </si>
  <si>
    <t>098251000</t>
  </si>
  <si>
    <t>09 218 8663</t>
  </si>
  <si>
    <t>098251200</t>
  </si>
  <si>
    <t>09 846 1616</t>
  </si>
  <si>
    <t>0800774774</t>
  </si>
  <si>
    <t>09 947 6736</t>
  </si>
  <si>
    <t>09 930 6270</t>
  </si>
  <si>
    <t>0 9 520 5030</t>
  </si>
  <si>
    <t>09 475 0845</t>
  </si>
  <si>
    <t>0 9 426 5732</t>
  </si>
  <si>
    <t>03 339 7756</t>
  </si>
  <si>
    <t>0 800 002 776</t>
  </si>
  <si>
    <t>0(09) 947 5040</t>
  </si>
  <si>
    <t>0800 PBM PRO</t>
  </si>
  <si>
    <t>0 9 522 68 24-735</t>
  </si>
  <si>
    <t>09 215 5260</t>
  </si>
  <si>
    <t>09 425 1617</t>
  </si>
  <si>
    <t>09 368 5215</t>
  </si>
  <si>
    <t>09 828 9888</t>
  </si>
  <si>
    <t>09 473 5891</t>
  </si>
  <si>
    <t>094237998</t>
  </si>
  <si>
    <t>09-818-3710</t>
  </si>
  <si>
    <t>09 376 8954</t>
  </si>
  <si>
    <t>09 416 3941</t>
  </si>
  <si>
    <t>07777777</t>
  </si>
  <si>
    <t>0800 456 321</t>
  </si>
  <si>
    <t>098150956</t>
  </si>
  <si>
    <t>0'T: 09 415 2727 EXT:749; D: 09</t>
  </si>
  <si>
    <t>09 534 8166</t>
  </si>
  <si>
    <t>09 444 4346</t>
  </si>
  <si>
    <t>0 9 8155713</t>
  </si>
  <si>
    <t>09 415 2727 EXT:719</t>
  </si>
  <si>
    <t>09 530 8267</t>
  </si>
  <si>
    <t>09 478-9924 extn: 309</t>
  </si>
  <si>
    <t>0 9 8369856</t>
  </si>
  <si>
    <t>0 9 818 2921</t>
  </si>
  <si>
    <t>09 265 0493</t>
  </si>
  <si>
    <t>0800 666 000</t>
  </si>
  <si>
    <t>09 947 4236</t>
  </si>
  <si>
    <t>03 662 9135   ext3887</t>
  </si>
  <si>
    <t>0D +64 9 522 68 24-732</t>
  </si>
  <si>
    <t>0DDL8156808</t>
  </si>
  <si>
    <t>0800 995 999</t>
  </si>
  <si>
    <t>09 837 1563</t>
  </si>
  <si>
    <t>09 213 3640</t>
  </si>
  <si>
    <t>0+ 64 9 414 7320</t>
  </si>
  <si>
    <t>06494180480</t>
  </si>
  <si>
    <t>09 836 6200</t>
  </si>
  <si>
    <t>0 9 444 6630</t>
  </si>
  <si>
    <t>0 9 8155701</t>
  </si>
  <si>
    <t>09 438 5554</t>
  </si>
  <si>
    <t>092804586</t>
  </si>
  <si>
    <t>09 422 6239</t>
  </si>
  <si>
    <t>098693114</t>
  </si>
  <si>
    <t>098286699</t>
  </si>
  <si>
    <t>09 427 3051</t>
  </si>
  <si>
    <t>09 425 1616</t>
  </si>
  <si>
    <t>0-</t>
  </si>
  <si>
    <t>0 9 8155723</t>
  </si>
  <si>
    <t>09 815 0958</t>
  </si>
  <si>
    <t>094119449</t>
  </si>
  <si>
    <t>09 869 4771</t>
  </si>
  <si>
    <t>09 869 6959</t>
  </si>
  <si>
    <t>09 262 0921</t>
  </si>
  <si>
    <t>09 274 5600</t>
  </si>
  <si>
    <t>09 360 1476</t>
  </si>
  <si>
    <t>09 479 4347 | 09 282 5604</t>
  </si>
  <si>
    <t>09 5233036</t>
  </si>
  <si>
    <t>09 215 9362</t>
  </si>
  <si>
    <t>098453385</t>
  </si>
  <si>
    <t>09 414 2424</t>
  </si>
  <si>
    <t>09 522 6824</t>
  </si>
  <si>
    <t>09-6201422</t>
  </si>
  <si>
    <t>09630 9090</t>
  </si>
  <si>
    <t>09 638 63022</t>
  </si>
  <si>
    <t>096364555</t>
  </si>
  <si>
    <t>09 216 8458</t>
  </si>
  <si>
    <t>09 815 5586</t>
  </si>
  <si>
    <t>09 412 5648</t>
  </si>
  <si>
    <t>09 621 0917</t>
  </si>
  <si>
    <t>09-4482252</t>
  </si>
  <si>
    <t>09 274-3978</t>
  </si>
  <si>
    <t>092743978</t>
  </si>
  <si>
    <t>0 9 415 2727 (Ext 775)</t>
  </si>
  <si>
    <t>09 415 2727 Ext 758</t>
  </si>
  <si>
    <t>09 638 2500</t>
  </si>
  <si>
    <t>09 838 8623</t>
  </si>
  <si>
    <t>09 390 1424</t>
  </si>
  <si>
    <t>09 525 3330</t>
  </si>
  <si>
    <t>09 216 6845</t>
  </si>
  <si>
    <t>09 4129010</t>
  </si>
  <si>
    <t>092158733</t>
  </si>
  <si>
    <t>09 415 2727</t>
  </si>
  <si>
    <t>09-415 2727</t>
  </si>
  <si>
    <t>09 4 265911</t>
  </si>
  <si>
    <t>092386384</t>
  </si>
  <si>
    <t>09 239 3858</t>
  </si>
  <si>
    <t>09 553 1111</t>
  </si>
  <si>
    <t>09 309 3612</t>
  </si>
  <si>
    <t>09 478-9924 Ext 301</t>
  </si>
  <si>
    <t>0800 6398 53</t>
  </si>
  <si>
    <t>09-5252222</t>
  </si>
  <si>
    <t>0 411 8961</t>
  </si>
  <si>
    <t>095226824</t>
  </si>
  <si>
    <t>09 2710595</t>
  </si>
  <si>
    <t>09 630 2282</t>
  </si>
  <si>
    <t>09 8369857</t>
  </si>
  <si>
    <t>09 959 0149</t>
  </si>
  <si>
    <t>03 339 7781</t>
  </si>
  <si>
    <t>098155700</t>
  </si>
  <si>
    <t>0800 772 266</t>
  </si>
  <si>
    <t>07-348 9988</t>
  </si>
  <si>
    <t>0 9 476 7442</t>
  </si>
  <si>
    <t>098373285</t>
  </si>
  <si>
    <t>09 298 8101</t>
  </si>
  <si>
    <t>0(09)4441366</t>
  </si>
  <si>
    <t>0 9 905 4631</t>
  </si>
  <si>
    <t>09 818 1956</t>
  </si>
  <si>
    <t>09 947 6498</t>
  </si>
  <si>
    <t>09 415 9110</t>
  </si>
  <si>
    <t>09 377 5885</t>
  </si>
  <si>
    <t>0800 856 486</t>
  </si>
  <si>
    <t>0 9 444 9247</t>
  </si>
  <si>
    <t>09 482 1190</t>
  </si>
  <si>
    <t>09 377 3017</t>
  </si>
  <si>
    <t>094278320</t>
  </si>
  <si>
    <t>094121000</t>
  </si>
  <si>
    <t>oscar@adroitbuilders.co.nz</t>
  </si>
  <si>
    <t>office@qbsltd.co.nz</t>
  </si>
  <si>
    <t>oliver@robertsnz.co.nz</t>
  </si>
  <si>
    <t>n.edwards@barfoot.co.nz</t>
  </si>
  <si>
    <t>nigel@bentonltd.co.nz</t>
  </si>
  <si>
    <t>nicole.banks@raywhite.com</t>
  </si>
  <si>
    <t>Nick.Zhang@constructors.co.nz</t>
  </si>
  <si>
    <t>nick.williams@nrw.nz</t>
  </si>
  <si>
    <t>nwallace@mikegreercommercial.co.nz</t>
  </si>
  <si>
    <t>nicholasgrainger@hotmail.com</t>
  </si>
  <si>
    <t>Nathan@fortifiedconstruction.co.nz</t>
  </si>
  <si>
    <t>natalie.gonthier@raywhite.com</t>
  </si>
  <si>
    <t>Natalia.Martinez@constructors.co.nz</t>
  </si>
  <si>
    <t>nath@box.co.nz</t>
  </si>
  <si>
    <t>Nadia@jalcon.co.nz</t>
  </si>
  <si>
    <t>murray@pure-build.co.nz</t>
  </si>
  <si>
    <t>murray.bell@northspace.co.nz</t>
  </si>
  <si>
    <t>zinal@leadingbuild.co.nz</t>
  </si>
  <si>
    <t>mingtao@madisonpark.co.nz</t>
  </si>
  <si>
    <t>miko@aulfon.com</t>
  </si>
  <si>
    <t>mike@lawtons.co.nz</t>
  </si>
  <si>
    <t>mike.faulkner@sentinelhomes.co.nz</t>
  </si>
  <si>
    <t>mike@modbuilders.co.nz</t>
  </si>
  <si>
    <t>mike@propmgmt.co.nz</t>
  </si>
  <si>
    <t>wilson.mike123@gmail.com</t>
  </si>
  <si>
    <t>opltrading@xtra.co.nz</t>
  </si>
  <si>
    <t>oliverfuller1@gmail.com</t>
  </si>
  <si>
    <t>olly.martin@sentinelhomes.co.nz</t>
  </si>
  <si>
    <t>raaj@a1construction.co.nz</t>
  </si>
  <si>
    <t>owen@strawbridgebuild.co.nz</t>
  </si>
  <si>
    <t>rachel.luo@harcourts.co.nz</t>
  </si>
  <si>
    <t>vmpconstructions@live.com</t>
  </si>
  <si>
    <t>PSharma@access.kiwi.nz</t>
  </si>
  <si>
    <t>pranav@3ccc.co.nz</t>
  </si>
  <si>
    <t>franklinwizltd@gmail.com</t>
  </si>
  <si>
    <t>pdumasia@oakmonthomes.co.nz</t>
  </si>
  <si>
    <t>p.mccall@barfoot.co.nz</t>
  </si>
  <si>
    <t>info@cpowernz.com</t>
  </si>
  <si>
    <t>peter.s@meridian.org.nz</t>
  </si>
  <si>
    <t>peter.liu@teampanda.co.nz</t>
  </si>
  <si>
    <t>Peter.DeJong@carters.co.nz</t>
  </si>
  <si>
    <t>petervidovich@xtra.co.nz</t>
  </si>
  <si>
    <t>nzperry@gmail.com</t>
  </si>
  <si>
    <t>penn_ag@yahoo.com</t>
  </si>
  <si>
    <t>pavan.pillay@formnz.co.nz</t>
  </si>
  <si>
    <t>paulreeves@assetmanagersltd.co.nz</t>
  </si>
  <si>
    <t>paulm@byrnehomes.co.nz</t>
  </si>
  <si>
    <t>paul@cbrnz.co.nz</t>
  </si>
  <si>
    <t>paalbers@hotmail.com</t>
  </si>
  <si>
    <t>paul@byrnehomes.co.nz</t>
  </si>
  <si>
    <t>northstar.mailer@primeeco.tech</t>
  </si>
  <si>
    <t>PaulDavis@signature.co.nz</t>
  </si>
  <si>
    <t>paul@coast2coastbuilders.co.nz</t>
  </si>
  <si>
    <t>paulk@universal.co.nz</t>
  </si>
  <si>
    <t>patrickw@fr.co.nz</t>
  </si>
  <si>
    <t>parth@kbprojects.co.nz</t>
  </si>
  <si>
    <t>michelle.xu@harcourts.co.nz</t>
  </si>
  <si>
    <t>accounts@smartsolutionhomes.co.nz</t>
  </si>
  <si>
    <t>mike.yu@harcourts.co.nz</t>
  </si>
  <si>
    <t>mal@stryde.co.nz</t>
  </si>
  <si>
    <t>maeakafa@trowgroup.co.nz</t>
  </si>
  <si>
    <t>madison@thebuildingco.co.nz</t>
  </si>
  <si>
    <t>LdeHaan@mikegreerhomes.co.nz</t>
  </si>
  <si>
    <t>lydia.colmar@raywhite.com</t>
  </si>
  <si>
    <t>lulu@jalcon.co.nz</t>
  </si>
  <si>
    <t>luka@box.co.nz</t>
  </si>
  <si>
    <t>logan.james@sentinelhomes.co.nz</t>
  </si>
  <si>
    <t>lholmes308@gmail.com</t>
  </si>
  <si>
    <t>logan@prodev.nz</t>
  </si>
  <si>
    <t>leonie.nash@harcourts.co.nz</t>
  </si>
  <si>
    <t>leonabao@signature.co.nz</t>
  </si>
  <si>
    <t>leona.thompson@bayleys.co.nz</t>
  </si>
  <si>
    <t>lance@lepgroup.co.nz</t>
  </si>
  <si>
    <t>LGillon@mikegreercommercial.co.nz</t>
  </si>
  <si>
    <t>lael@alineconstruction.co.nz</t>
  </si>
  <si>
    <t>kirsty@ironbridge.co.nz</t>
  </si>
  <si>
    <t>kirsty.harrington@raywhite.com</t>
  </si>
  <si>
    <t>kieran@pbmc.nz</t>
  </si>
  <si>
    <t>kieranjashford@gmail.com</t>
  </si>
  <si>
    <t>khue@aulfon.com</t>
  </si>
  <si>
    <t>ken@recoconstruction.co.nz</t>
  </si>
  <si>
    <t>KeiraShi@signature.co.nz</t>
  </si>
  <si>
    <t>Keira@jalcon.co.nz</t>
  </si>
  <si>
    <t>keegan@maddrenhomes.co.nz</t>
  </si>
  <si>
    <t>katie.cato@raywhite.com</t>
  </si>
  <si>
    <t>mana@jrhcarpenters.co.nz</t>
  </si>
  <si>
    <t>mdandiwal@yahoo.com</t>
  </si>
  <si>
    <t>rentals.warkworth@harcourts.co.nz</t>
  </si>
  <si>
    <t>MMcKenzie@mikegreercommercial.co.nz</t>
  </si>
  <si>
    <t>michael.rothus@sentinelhomes.co.nz</t>
  </si>
  <si>
    <t>michael@cmp.net.nz</t>
  </si>
  <si>
    <t>michael@colabb.co.nz</t>
  </si>
  <si>
    <t>mike@imrebuilders.co.nz</t>
  </si>
  <si>
    <t>actionhomes@actrix.co.nz</t>
  </si>
  <si>
    <t>michael@gwsnz.co.nz</t>
  </si>
  <si>
    <t>mercedes@propertyscouts.co.nz</t>
  </si>
  <si>
    <t>melvin@designconstruct.co.nz</t>
  </si>
  <si>
    <t>megan@vertigro.co.nz</t>
  </si>
  <si>
    <t>aradid@xtra.co.nz</t>
  </si>
  <si>
    <t>matt@d-constructionnz.co.nz</t>
  </si>
  <si>
    <t>mdprojectsnz@gmail.com</t>
  </si>
  <si>
    <t>matiu@goodbrothers.co.nz</t>
  </si>
  <si>
    <t>mat@moorecon.co.nz</t>
  </si>
  <si>
    <t>mason.hw@nzbuilders.org</t>
  </si>
  <si>
    <t>mark@licensedreclads.co.nz</t>
  </si>
  <si>
    <t>mark@mlcc.co.nz</t>
  </si>
  <si>
    <t>mark@bindon.co.nz</t>
  </si>
  <si>
    <t>mark.berryman@selahhomes.co.nz</t>
  </si>
  <si>
    <t>mario@waide.co.nz</t>
  </si>
  <si>
    <t>marcus.gadd@hawkins.co.nz</t>
  </si>
  <si>
    <t>manolohofmann@yahoo.co.nz</t>
  </si>
  <si>
    <t>desirablehomesltd@gmail.com</t>
  </si>
  <si>
    <t>greylynn.rental@barfoot.co.nz</t>
  </si>
  <si>
    <t>rakalvi@hotmail.com</t>
  </si>
  <si>
    <t>aaron.alexander@healthy-estate.co.nz</t>
  </si>
  <si>
    <t>todd@cassidybuildgroup.nz</t>
  </si>
  <si>
    <t>t.werry@barfoot.co.nz</t>
  </si>
  <si>
    <t>tim@key2.co.nz</t>
  </si>
  <si>
    <t>dave@mycloudsolutions.co.nz</t>
  </si>
  <si>
    <t>teige.sherwood@sentinelhomes.co.nz</t>
  </si>
  <si>
    <t>office@dawsonconstruction.co.nz</t>
  </si>
  <si>
    <t>tania.lipsham@sentinelhomes.co.nz</t>
  </si>
  <si>
    <t>tania@nflconstruction.co.nz</t>
  </si>
  <si>
    <t>syp0604@gmail.com</t>
  </si>
  <si>
    <t>Sumitnegi1998@yahoo.co.nz</t>
  </si>
  <si>
    <t>Sue.ataie@raywhite.com</t>
  </si>
  <si>
    <t>suhyunp@universal.co.nz</t>
  </si>
  <si>
    <t>steve@maddrenhomes.co.nz</t>
  </si>
  <si>
    <t>steve.garvey@landmarkhomes.co.nz</t>
  </si>
  <si>
    <t>steve@ecopodconcepts.nz</t>
  </si>
  <si>
    <t>steve@brackit.co.nz</t>
  </si>
  <si>
    <t>stephen@maddrenhomes.co.nz</t>
  </si>
  <si>
    <t>stephen@faulknerconstruction.co.nz</t>
  </si>
  <si>
    <t>stephen.eachus@naylorlove.co.nz</t>
  </si>
  <si>
    <t>stanley8086@gmail.com</t>
  </si>
  <si>
    <t>stansheel@yahoo.com</t>
  </si>
  <si>
    <t>Stacey.OConnor@carters.co.nz</t>
  </si>
  <si>
    <t>sophiew@universal.co.nz</t>
  </si>
  <si>
    <t>sophie_elgar@raywhite.com</t>
  </si>
  <si>
    <t>nokuout@slingshot.co.nz</t>
  </si>
  <si>
    <t>toby@crafthomes.co.nz</t>
  </si>
  <si>
    <t>tom@wyseconstruction.com</t>
  </si>
  <si>
    <t>ralph@buildsmartgroup.co.nz</t>
  </si>
  <si>
    <t>tommy@maximbuild.co.nz</t>
  </si>
  <si>
    <t>davidnzgolf@gmail.com</t>
  </si>
  <si>
    <t>wok@stehr.co.nz</t>
  </si>
  <si>
    <t>william.shi@ucon.co.nz</t>
  </si>
  <si>
    <t>wendy.king@landmarkhomes.co.nz</t>
  </si>
  <si>
    <t>Wei.Zhang@carters.co.nz</t>
  </si>
  <si>
    <t>badmanchar@xtra.co.nz</t>
  </si>
  <si>
    <t>warren@wah.co.nz</t>
  </si>
  <si>
    <t>wan@livefirm.co.nz</t>
  </si>
  <si>
    <t>wade.eatts@cavalierhomes.co.nz</t>
  </si>
  <si>
    <t>vincent@jlbuilders.co.nz</t>
  </si>
  <si>
    <t>vikki.smith@sentinelhomes.co.nz</t>
  </si>
  <si>
    <t>victor@apg.kiwi.nz</t>
  </si>
  <si>
    <t>metrobuild@hotmail.com</t>
  </si>
  <si>
    <t>vaughn@maddrenhomes.co.nz</t>
  </si>
  <si>
    <t>varun@jalcon.co.nz</t>
  </si>
  <si>
    <t>valentin@maddrenhomes.co.nz</t>
  </si>
  <si>
    <t>VZeman@mikegreerhomes.co.nz</t>
  </si>
  <si>
    <t>tysen@selahhomes.co.nz</t>
  </si>
  <si>
    <t>troy@qbsltd.co.nz</t>
  </si>
  <si>
    <t>trev@3dbuilders.co.nz</t>
  </si>
  <si>
    <t>travis@recoconstruction.co.nz</t>
  </si>
  <si>
    <t>inspireddesigns@xtra.co.nz</t>
  </si>
  <si>
    <t>toni@consortium.net.nz</t>
  </si>
  <si>
    <t>t.elliott@barfoot.co.nz</t>
  </si>
  <si>
    <t>sonia.thawani@placemakers.co.nz</t>
  </si>
  <si>
    <t>udaresoham@gmail.com</t>
  </si>
  <si>
    <t>soane@selahhomes.co.nz</t>
  </si>
  <si>
    <t>sg@tag.kiwi</t>
  </si>
  <si>
    <t>sam@loughnanconstruction.co.nz</t>
  </si>
  <si>
    <t>sam.alrdini@carters.co.nz</t>
  </si>
  <si>
    <t>sam@gibsonbuilding.co.nz</t>
  </si>
  <si>
    <t>Ryan.Trainor2@carters.co.nz</t>
  </si>
  <si>
    <t>ryan@madewell.co.nz</t>
  </si>
  <si>
    <t>ryan@box.co.nz</t>
  </si>
  <si>
    <t>ryan.daniels@zyj.co.nz</t>
  </si>
  <si>
    <t>pricing@smartsolutionhomes.co.nz</t>
  </si>
  <si>
    <t>rupeshshroff@hotmail.com</t>
  </si>
  <si>
    <t>rupert@licensedreclads.co.nz</t>
  </si>
  <si>
    <t>ruby.huang@mccore.co.nz</t>
  </si>
  <si>
    <t>ronaldboersen@gmail.com</t>
  </si>
  <si>
    <t>roel@Harmonyhomes.co.nz</t>
  </si>
  <si>
    <t>RodrigoSeixas@signature.co.nz</t>
  </si>
  <si>
    <t>rodger@maddrenhomes.co.nz</t>
  </si>
  <si>
    <t>r.singh@shakthi.co.nz</t>
  </si>
  <si>
    <t>Richard@robertsnz.co.nz</t>
  </si>
  <si>
    <t>richard.chivers@liskprojects.co.nz</t>
  </si>
  <si>
    <t>Richard@AssetConstruction.co.nz</t>
  </si>
  <si>
    <t>Rhys.Langston@versatile.co.nz</t>
  </si>
  <si>
    <t>rhiannon.kovacevich@sentinelhomes.co.nz</t>
  </si>
  <si>
    <t>renae.temaro@raywhite.com</t>
  </si>
  <si>
    <t>anandreginald@yahoo.co.nz</t>
  </si>
  <si>
    <t>ranveer@apg.kiwi.nz</t>
  </si>
  <si>
    <t>s.spratt@barfoot.co.nz</t>
  </si>
  <si>
    <t>Samuel.hines@hawkins.co.nz</t>
  </si>
  <si>
    <t>office@seniorconstruction.co.nz</t>
  </si>
  <si>
    <t>blackledge_builders@live.com</t>
  </si>
  <si>
    <t>simon@diamondbuilding.co.nz</t>
  </si>
  <si>
    <t>info@100build.co.nz</t>
  </si>
  <si>
    <t>ahsim_kh@yahoo.co.uk</t>
  </si>
  <si>
    <t>Silas.Coster@carters.co.nz</t>
  </si>
  <si>
    <t>sian@chtd.co.nz</t>
  </si>
  <si>
    <t>sherwin@alphaconstruction.kiwi</t>
  </si>
  <si>
    <t>sherry.yang@sentinelhomes.co.nz</t>
  </si>
  <si>
    <t>ptgroupltd2016@gmail.com</t>
  </si>
  <si>
    <t>SLeahair@mikegreerhomes.co.nz</t>
  </si>
  <si>
    <t>procurement@shayestinyhomes.co.nz</t>
  </si>
  <si>
    <t>ShawnDeng@signature.co.nz</t>
  </si>
  <si>
    <t>info@ibuildsolutions.co.nz</t>
  </si>
  <si>
    <t>Sharonc@fr.co.nz</t>
  </si>
  <si>
    <t>sara_mnz@hotmail.com</t>
  </si>
  <si>
    <t>shane@hobsondelowe.co.nz</t>
  </si>
  <si>
    <t>shmkahn@yahoo.com.au</t>
  </si>
  <si>
    <t>shamil@ladsgroup.co.nz</t>
  </si>
  <si>
    <t>buildlinenz@gmail.com</t>
  </si>
  <si>
    <t>seren@therentalbureau.co.nz</t>
  </si>
  <si>
    <t>Sean.Hall@carters.co.nz</t>
  </si>
  <si>
    <t>Scott.Williams@versatile.co.nz</t>
  </si>
  <si>
    <t>randhbuilders@gmail.com</t>
  </si>
  <si>
    <t>scott.duncan@gjgardner.co.nz</t>
  </si>
  <si>
    <t>scott@cassidybuildgroup.nz</t>
  </si>
  <si>
    <t>scott@earlybirdconstruction.co.nz</t>
  </si>
  <si>
    <t>sarah.d.berry@gmail.com</t>
  </si>
  <si>
    <t>kathrynleagamini@gmail.com</t>
  </si>
  <si>
    <t>katherine.park@kncconstruction.co.nz</t>
  </si>
  <si>
    <t>karyn@nallard.co.nz</t>
  </si>
  <si>
    <t>office@hybrid.org.nz</t>
  </si>
  <si>
    <t>claireerceg@corinthian.co.nz</t>
  </si>
  <si>
    <t>christy@bcgnz.co.nz</t>
  </si>
  <si>
    <t>chris@spartacons.co.nz</t>
  </si>
  <si>
    <t>ChrisDuke@signature.co.nz</t>
  </si>
  <si>
    <t>chris.shaw@maygroveorewa.co.nz</t>
  </si>
  <si>
    <t>charlotte.kiddie@raywhite.com</t>
  </si>
  <si>
    <t>c.houtwipper@gmail.com</t>
  </si>
  <si>
    <t>c.fenton@barfoot.co.nz</t>
  </si>
  <si>
    <t>chad.h@myself.com</t>
  </si>
  <si>
    <t>catherinew.guardian@gmail.com</t>
  </si>
  <si>
    <t>carleneinu@gmail.com</t>
  </si>
  <si>
    <t>Carlena.Seagers@carters.co.nz</t>
  </si>
  <si>
    <t>carlgoodwin2@yahoo.co.nz</t>
  </si>
  <si>
    <t>campbell.upton@raywhite.com</t>
  </si>
  <si>
    <t>cameron@cbprojects.co.nz</t>
  </si>
  <si>
    <t>cam@ceconstruction.co.nz</t>
  </si>
  <si>
    <t>tahatinyhomes@gmail.com</t>
  </si>
  <si>
    <t>bwilliams@mikegreerhomes.co.nz</t>
  </si>
  <si>
    <t>Brian@ddlhomes.co.nz</t>
  </si>
  <si>
    <t>brett@premiersolutions.co.nz</t>
  </si>
  <si>
    <t>brett@shorcom.co.nz</t>
  </si>
  <si>
    <t>bret@fowlerhomes.co.nz</t>
  </si>
  <si>
    <t>wr.ind@xtra.co.nz</t>
  </si>
  <si>
    <t>pineleaprojects@gmail.com</t>
  </si>
  <si>
    <t>Braedyn@ockham.co.nz</t>
  </si>
  <si>
    <t>Brad.watts@brosnan.co.nz</t>
  </si>
  <si>
    <t>brad@formconstruction.nz</t>
  </si>
  <si>
    <t>claire.paratene@sentinelhomes.co.nz</t>
  </si>
  <si>
    <t>clayton@selahhomes.co.nz</t>
  </si>
  <si>
    <t>eammon@jrhcarpenters.co.nz</t>
  </si>
  <si>
    <t>cole@lepgroup.co.nz</t>
  </si>
  <si>
    <t>dynamicdecorators@gmail.com</t>
  </si>
  <si>
    <t>don.wotherspoon@sentinelhomes.co.nz</t>
  </si>
  <si>
    <t>domslot@gmail.com</t>
  </si>
  <si>
    <t>dillon@downrightconstruction.co.nz</t>
  </si>
  <si>
    <t>devin.webber@harcourts.co.nz</t>
  </si>
  <si>
    <t>denise@cmp.net.nz</t>
  </si>
  <si>
    <t>debbie@lyonspropertymanagement.co.nz</t>
  </si>
  <si>
    <t>dawn.ding@ucon.co.nz</t>
  </si>
  <si>
    <t>dw.stark@hotmail.com</t>
  </si>
  <si>
    <t>David.Phillips@versatile.co.nz</t>
  </si>
  <si>
    <t>mrkitchens@xtra.co.nz</t>
  </si>
  <si>
    <t>dave@originbuild.co.nz</t>
  </si>
  <si>
    <t>urbanprojectsnz@gmail.com</t>
  </si>
  <si>
    <t>inquiry@nzreno.co.nz</t>
  </si>
  <si>
    <t>darin@cobbproperty.co.nz</t>
  </si>
  <si>
    <t>danielle@goodwins.co.nz</t>
  </si>
  <si>
    <t>Daniel.Kimpton@carters.co.nz</t>
  </si>
  <si>
    <t>dan@downrightconstruction.co.nz</t>
  </si>
  <si>
    <t>Daniel@jalcon.co.nz</t>
  </si>
  <si>
    <t>info@betterbuilding.co.nz</t>
  </si>
  <si>
    <t>Dan@thebuildingco.co.nz</t>
  </si>
  <si>
    <t>orewa.rental@barfoot.co.nz</t>
  </si>
  <si>
    <t>Craig@urbanlivingbuilding.co.nz</t>
  </si>
  <si>
    <t>corinneimbert@hotmail.com</t>
  </si>
  <si>
    <t>brad@sgaltd.co.nz</t>
  </si>
  <si>
    <t>b.tasker@barfoot.co.nz</t>
  </si>
  <si>
    <t>blake@nzbuilders.co.nz</t>
  </si>
  <si>
    <t>bill@zeafield.co.nz</t>
  </si>
  <si>
    <t>angela@doranpropertymanagement.co.nz</t>
  </si>
  <si>
    <t>andy@maddrenhomes.co.nz</t>
  </si>
  <si>
    <t>atb@slingshot.co.nz</t>
  </si>
  <si>
    <t>2020renovate2020@gmail.com</t>
  </si>
  <si>
    <t>andrew@bachpodz.com</t>
  </si>
  <si>
    <t>gracepropertynz@gmail.com</t>
  </si>
  <si>
    <t>andreea@cmp.net.nz</t>
  </si>
  <si>
    <t>andrea@faulknerconstruction.co.nz</t>
  </si>
  <si>
    <t>andre@titusgroup.co.nz</t>
  </si>
  <si>
    <t>amy@aspireproperty.co.nz</t>
  </si>
  <si>
    <t>a.marchant@barfoot.co.nz</t>
  </si>
  <si>
    <t>info@qualitasbuilders.co.nz</t>
  </si>
  <si>
    <t>a.ball@barfoot.co.nz</t>
  </si>
  <si>
    <t>alvin@orientconstructionnz.co.nz</t>
  </si>
  <si>
    <t>Alvin.Manukia@carters.co.nz</t>
  </si>
  <si>
    <t>tenancy.warkworth@harcourts.co.nz</t>
  </si>
  <si>
    <t>Alice.Ni@gjgardner.co.nz</t>
  </si>
  <si>
    <t>alfred@cmp.net.nz</t>
  </si>
  <si>
    <t>alfredh@universal.co.nz</t>
  </si>
  <si>
    <t>albertnipper@gmail.com</t>
  </si>
  <si>
    <t>alastair@faulknerconstruction.co.nz</t>
  </si>
  <si>
    <t>agnesasini@corinthian.co.nz</t>
  </si>
  <si>
    <t>propertytree@propertytree.com</t>
  </si>
  <si>
    <t>Adam.Porter@carters.co.nz</t>
  </si>
  <si>
    <t>angela@residentialrentals.co.nz</t>
  </si>
  <si>
    <t>anilj@universal.co.nz</t>
  </si>
  <si>
    <t>ankit.vaid@kmbconstruction.co.nz</t>
  </si>
  <si>
    <t>flashhomes@hotmail.com</t>
  </si>
  <si>
    <t>bill@jalcon.co.nz</t>
  </si>
  <si>
    <t>Bev.Saxon@aucklandproperty.net</t>
  </si>
  <si>
    <t>benny@kinaconstruct.co.nz</t>
  </si>
  <si>
    <t>ben@uppertonconstruction.co.nz</t>
  </si>
  <si>
    <t>benholland@goodbrothers.co.nz</t>
  </si>
  <si>
    <t>ben@craftconstruction.co.nz</t>
  </si>
  <si>
    <t>BenG@ockham.co.nz</t>
  </si>
  <si>
    <t>ben@cooperbuild.co.nz</t>
  </si>
  <si>
    <t>bosconstructionlimited@gmail.com</t>
  </si>
  <si>
    <t>cnrbuildersltd@gmail.com</t>
  </si>
  <si>
    <t>ben@indeliblehomes.co.nz</t>
  </si>
  <si>
    <t>barrypage60@icloud.com</t>
  </si>
  <si>
    <t>annemarie@amd.nz</t>
  </si>
  <si>
    <t>barend@macrennie.com</t>
  </si>
  <si>
    <t>salz.barb@gmail.com</t>
  </si>
  <si>
    <t>yousifiazad@gmail.com</t>
  </si>
  <si>
    <t>atul@zyj.co.nz</t>
  </si>
  <si>
    <t>ashley@splceilings.co.nz</t>
  </si>
  <si>
    <t>ariel@treasurehomes.co.nz</t>
  </si>
  <si>
    <t>anyasheffield@signature.co.nz</t>
  </si>
  <si>
    <t>cocoontinyhomes@gmail.com</t>
  </si>
  <si>
    <t>anthony@amrockbuilders.co.nz</t>
  </si>
  <si>
    <t>tony@elementbuilders.co.nz</t>
  </si>
  <si>
    <t>aafotheringhame@gmail.com</t>
  </si>
  <si>
    <t>annemarie@nextlevelconstruct.co.nz</t>
  </si>
  <si>
    <t>karl@knconstruction.co.nz</t>
  </si>
  <si>
    <t>dougt@universal.co.nz</t>
  </si>
  <si>
    <t>earl@sogroup.co.nz</t>
  </si>
  <si>
    <t>edwardp@universal.co.nz</t>
  </si>
  <si>
    <t>jim.kinmond@northspace.co.nz</t>
  </si>
  <si>
    <t>jim.kinmond@sentinelhomes.co.nz</t>
  </si>
  <si>
    <t>kkgquotes@refresh.co.nz</t>
  </si>
  <si>
    <t>info@huoconstruction.co.nz</t>
  </si>
  <si>
    <t>jessica.thomas@bayleys.co.nz</t>
  </si>
  <si>
    <t>bushmagicnz@gmail.com</t>
  </si>
  <si>
    <t>jeremy@maddrenhomes.co.nz</t>
  </si>
  <si>
    <t>Jeremy.Lewis@carters.co.nz</t>
  </si>
  <si>
    <t>j.rollinson@barfoot.co.nz</t>
  </si>
  <si>
    <t>office@rbbl.co.nz</t>
  </si>
  <si>
    <t>jen@bosanacbuilders.co.nz</t>
  </si>
  <si>
    <t>thealboms@gmail.com</t>
  </si>
  <si>
    <t>jedradaly@outlook.com</t>
  </si>
  <si>
    <t>jaynie@icreatebuilding.nz</t>
  </si>
  <si>
    <t>jay@lorenzengroup.nz</t>
  </si>
  <si>
    <t>owenbuildersltd@gmail.com</t>
  </si>
  <si>
    <t>jasper@dash-build.co.nz</t>
  </si>
  <si>
    <t>jasonw@universal.co.nz</t>
  </si>
  <si>
    <t>jason@nzbuildingdevelopments.co.nz</t>
  </si>
  <si>
    <t>j.barry@aspec.co.nz</t>
  </si>
  <si>
    <t>jasnish@nestorinvest.com</t>
  </si>
  <si>
    <t>jarrod.angrove@landmarkhomes.co.nz</t>
  </si>
  <si>
    <t>QS@nextlevelconstruct.co.nz</t>
  </si>
  <si>
    <t>jamiebarrow@me.com</t>
  </si>
  <si>
    <t>qs@shieldgroup.co.nz</t>
  </si>
  <si>
    <t>blackwood_homes@yahoo.com</t>
  </si>
  <si>
    <t>jiten@jraconstruction.co.nz</t>
  </si>
  <si>
    <t>j.hodgetts@barfoot.co.nz</t>
  </si>
  <si>
    <t>jove.jia@ucon.co.nz</t>
  </si>
  <si>
    <t>karlcrosbie1971@gmail.com</t>
  </si>
  <si>
    <t>Karl@ultrainteriors.co.nz</t>
  </si>
  <si>
    <t>karen.bmhhomes@gmail.com</t>
  </si>
  <si>
    <t>systematic.homes@outlook.com</t>
  </si>
  <si>
    <t>kail.cowan@cavalierhomes.co.nz</t>
  </si>
  <si>
    <t>justin@cbmconstruction.co.nz</t>
  </si>
  <si>
    <t>Jun.Shi@carters.co.nz</t>
  </si>
  <si>
    <t>millstoneresidential@gmail.com</t>
  </si>
  <si>
    <t>juli_joe@hotmail.com</t>
  </si>
  <si>
    <t>julian@fortifiedconstruction.co.nz</t>
  </si>
  <si>
    <t>admin@oracleproperty.co.nz</t>
  </si>
  <si>
    <t>josh@customlivingconstruction.net</t>
  </si>
  <si>
    <t>jscarlett@mikegreerhomes.co.nz</t>
  </si>
  <si>
    <t>joshua@lepgroup.co.nz</t>
  </si>
  <si>
    <t>josh@grantbuilt.co.nz</t>
  </si>
  <si>
    <t>josh@rhjconstruction.co.nz</t>
  </si>
  <si>
    <t>josh.hj@cetahomes.co.nz</t>
  </si>
  <si>
    <t>John.Grant@carters.co.nz</t>
  </si>
  <si>
    <t>john.essie@xtra.co.nz</t>
  </si>
  <si>
    <t>john@wbvet.co.nz</t>
  </si>
  <si>
    <t>johan@mdlcivil.co.nz</t>
  </si>
  <si>
    <t>joey@robertsnz.co.nz</t>
  </si>
  <si>
    <t>joel@macreadiebuilders.co.nz</t>
  </si>
  <si>
    <t>joe@qpcbuilders.co.nz</t>
  </si>
  <si>
    <t>james@3dukeshome.co.nz</t>
  </si>
  <si>
    <t>james@makocommercial.co.nz</t>
  </si>
  <si>
    <t>james@qbsltd.co.nz</t>
  </si>
  <si>
    <t>james@jrhcarpenters.co.nz</t>
  </si>
  <si>
    <t>buildergrant@outlook.com</t>
  </si>
  <si>
    <t>graham@cooperbuild.co.nz</t>
  </si>
  <si>
    <t>byronconstruction1@gmail.com</t>
  </si>
  <si>
    <t>glenn@branthomes.co.nz</t>
  </si>
  <si>
    <t>ghunter@mikegreercommercial.co.nz</t>
  </si>
  <si>
    <t>glen@diamondbuilding.co.nz</t>
  </si>
  <si>
    <t>gilbertx@fr.co.nz</t>
  </si>
  <si>
    <t>geoff.silvester@landmarkhomes.co.nz</t>
  </si>
  <si>
    <t>info@formconceptsltd.co.nz</t>
  </si>
  <si>
    <t>Gavin@bindon.co.nz</t>
  </si>
  <si>
    <t>gary4adl@gmail.com</t>
  </si>
  <si>
    <t>garry.mitri@gmail.com</t>
  </si>
  <si>
    <t>gagan@ihomes.nz</t>
  </si>
  <si>
    <t>flee@rpglobal.co.nz</t>
  </si>
  <si>
    <t>Frank.Song@classicbuilders.co.nz</t>
  </si>
  <si>
    <t>FDiaconescu@mikegreercommercial.co.nz</t>
  </si>
  <si>
    <t>feroz@saffhomes.com</t>
  </si>
  <si>
    <t>FangDong@signature.co.nz</t>
  </si>
  <si>
    <t>Evan.Jiang@constructors.co.nz</t>
  </si>
  <si>
    <t>erniehogg@frontlineprojects.net.nz</t>
  </si>
  <si>
    <t>renovairehomes@gmail.com</t>
  </si>
  <si>
    <t>elliot@valcon.nz</t>
  </si>
  <si>
    <t>admin@cmbuild.co.nz</t>
  </si>
  <si>
    <t>edwin.yang@apg.co.nz</t>
  </si>
  <si>
    <t>edwincruz@signature.co.nz</t>
  </si>
  <si>
    <t>gdrichards@xtra.co.nz</t>
  </si>
  <si>
    <t>Grant@ashcrofthomes.co.nz</t>
  </si>
  <si>
    <t>gjlbuild@gmail.com</t>
  </si>
  <si>
    <t>Grant@lepgroup.co.nz</t>
  </si>
  <si>
    <t>jake_huang21@hotmail.com</t>
  </si>
  <si>
    <t>accounts@saltark.com</t>
  </si>
  <si>
    <t>GoodwinGoldstone@outlook.co.nz</t>
  </si>
  <si>
    <t>jackson.ogle@sentinelhomes.co.nz</t>
  </si>
  <si>
    <t>jackson@branthomes.co.nz</t>
  </si>
  <si>
    <t>jackie.h@meridian.org.nz</t>
  </si>
  <si>
    <t>issac@lanta.co.nz</t>
  </si>
  <si>
    <t>spectrumcons53@gmail.com</t>
  </si>
  <si>
    <t>Irene@oracleproperty.co.nz</t>
  </si>
  <si>
    <t>Auckland.Support@milesconstruction.co.nz</t>
  </si>
  <si>
    <t>info@marketready.co.nz</t>
  </si>
  <si>
    <t>hugh@saltconstruction.co.nz</t>
  </si>
  <si>
    <t>slorewa@gmail.com</t>
  </si>
  <si>
    <t>hestrie@vertigro.co.nz</t>
  </si>
  <si>
    <t>hesterl@universal.co.nz</t>
  </si>
  <si>
    <t>henry@hdbuilding.co.nz</t>
  </si>
  <si>
    <t>hinare@t-online.de</t>
  </si>
  <si>
    <t>hayden@scottbuilding.co.nz</t>
  </si>
  <si>
    <t>goldhomesnz@gmail.com</t>
  </si>
  <si>
    <t>hardeep@makocommercial.co.nz</t>
  </si>
  <si>
    <t>rentals.orewa@harcourts.co.nz</t>
  </si>
  <si>
    <t>hannah@maddrenhomes.co.nz</t>
  </si>
  <si>
    <t>guy@makocommercial.co.nz</t>
  </si>
  <si>
    <t>guygoodale@hotmail.com</t>
  </si>
  <si>
    <t>gus@madeby.nz</t>
  </si>
  <si>
    <t>greg.slade@sentinelhomes.co.nz</t>
  </si>
  <si>
    <t>yolanda.havenga@leighsconstruction.co.nz</t>
  </si>
  <si>
    <t>Managing Director</t>
  </si>
  <si>
    <t>Client</t>
  </si>
  <si>
    <t>Homeowner</t>
  </si>
  <si>
    <t>Builder</t>
  </si>
  <si>
    <t>Construction Manager</t>
  </si>
  <si>
    <t>Senior Quantity Surveyor</t>
  </si>
  <si>
    <t>Project Manager</t>
  </si>
  <si>
    <t>Construction Administrator</t>
  </si>
  <si>
    <t>Senior Heating &amp; Cooling Specialist</t>
  </si>
  <si>
    <t>Commercial Manager</t>
  </si>
  <si>
    <t>Accounts Payable Officer</t>
  </si>
  <si>
    <t>Site Engineer</t>
  </si>
  <si>
    <t>Operations manager</t>
  </si>
  <si>
    <t xml:space="preserve">Tender </t>
  </si>
  <si>
    <t>General Manager</t>
  </si>
  <si>
    <t>Site Supervisor</t>
  </si>
  <si>
    <t>Trade Support Officer</t>
  </si>
  <si>
    <t>Branch Manager</t>
  </si>
  <si>
    <t xml:space="preserve">Client Accounts Manager </t>
  </si>
  <si>
    <t>Property Supervisor</t>
  </si>
  <si>
    <t>Property Management Assistant</t>
  </si>
  <si>
    <t>Site Manager</t>
  </si>
  <si>
    <t>Administration</t>
  </si>
  <si>
    <t>Senior Project Manager</t>
  </si>
  <si>
    <t>Business Development Manager</t>
  </si>
  <si>
    <t>Senior Case Manager</t>
  </si>
  <si>
    <t>Tender</t>
  </si>
  <si>
    <t>Procurement Officer</t>
  </si>
  <si>
    <t>Purchasing Officer</t>
  </si>
  <si>
    <t>Oscar</t>
  </si>
  <si>
    <t>Olivia</t>
  </si>
  <si>
    <t>Oliver</t>
  </si>
  <si>
    <t>Nikki</t>
  </si>
  <si>
    <t>Nigel</t>
  </si>
  <si>
    <t>Nicole</t>
  </si>
  <si>
    <t>Nick</t>
  </si>
  <si>
    <t>Niall</t>
  </si>
  <si>
    <t>Nathan</t>
  </si>
  <si>
    <t>Natalie</t>
  </si>
  <si>
    <t>Natalia</t>
  </si>
  <si>
    <t>Nat</t>
  </si>
  <si>
    <t>Nadia</t>
  </si>
  <si>
    <t>Murray</t>
  </si>
  <si>
    <t>Mohammed</t>
  </si>
  <si>
    <t>Mingtao</t>
  </si>
  <si>
    <t>Miko</t>
  </si>
  <si>
    <t>Mike</t>
  </si>
  <si>
    <t>Olly</t>
  </si>
  <si>
    <t>Rajneel</t>
  </si>
  <si>
    <t>Owen</t>
  </si>
  <si>
    <t>Rachel</t>
  </si>
  <si>
    <t>Prasheel</t>
  </si>
  <si>
    <t>Praneta</t>
  </si>
  <si>
    <t>Pranav</t>
  </si>
  <si>
    <t>Porus</t>
  </si>
  <si>
    <t>Porous</t>
  </si>
  <si>
    <t>Philip</t>
  </si>
  <si>
    <t>Phenix</t>
  </si>
  <si>
    <t>Peter</t>
  </si>
  <si>
    <t>Perry</t>
  </si>
  <si>
    <t>Penelope</t>
  </si>
  <si>
    <t>Pavan</t>
  </si>
  <si>
    <t>Paul</t>
  </si>
  <si>
    <t>Patrick</t>
  </si>
  <si>
    <t>Parth</t>
  </si>
  <si>
    <t>Michelle</t>
  </si>
  <si>
    <t>Michael</t>
  </si>
  <si>
    <t>Malachai</t>
  </si>
  <si>
    <t>Maeakafa</t>
  </si>
  <si>
    <t>Madison</t>
  </si>
  <si>
    <t>Lydia</t>
  </si>
  <si>
    <t>Lulu</t>
  </si>
  <si>
    <t>Luka</t>
  </si>
  <si>
    <t>Logan</t>
  </si>
  <si>
    <t>Leonie</t>
  </si>
  <si>
    <t>Leona</t>
  </si>
  <si>
    <t>Lance</t>
  </si>
  <si>
    <t>Lael</t>
  </si>
  <si>
    <t>Kirsty</t>
  </si>
  <si>
    <t>Kieran</t>
  </si>
  <si>
    <t>Khue</t>
  </si>
  <si>
    <t>Ken</t>
  </si>
  <si>
    <t>Keira</t>
  </si>
  <si>
    <t>Keegan</t>
  </si>
  <si>
    <t>Katie</t>
  </si>
  <si>
    <t>Mana</t>
  </si>
  <si>
    <t>Mandeep</t>
  </si>
  <si>
    <t>Mandy</t>
  </si>
  <si>
    <t>Matthew</t>
  </si>
  <si>
    <t>Mercedes</t>
  </si>
  <si>
    <t>Melvin</t>
  </si>
  <si>
    <t>Megan</t>
  </si>
  <si>
    <t>Maurice</t>
  </si>
  <si>
    <t>Maninder</t>
  </si>
  <si>
    <t>Matiu</t>
  </si>
  <si>
    <t>Mate</t>
  </si>
  <si>
    <t>Mat</t>
  </si>
  <si>
    <t>Mason</t>
  </si>
  <si>
    <t>Mark</t>
  </si>
  <si>
    <t>Mario</t>
  </si>
  <si>
    <t>Marcus</t>
  </si>
  <si>
    <t>Manolo</t>
  </si>
  <si>
    <t>Manish</t>
  </si>
  <si>
    <t>Raewyn</t>
  </si>
  <si>
    <t>Rakesh</t>
  </si>
  <si>
    <t>Aaron</t>
  </si>
  <si>
    <t>Todd</t>
  </si>
  <si>
    <t>Tim</t>
  </si>
  <si>
    <t>Teige</t>
  </si>
  <si>
    <t>Tara</t>
  </si>
  <si>
    <t>Tania</t>
  </si>
  <si>
    <t>TANIA</t>
  </si>
  <si>
    <t>Sung</t>
  </si>
  <si>
    <t>Sumit</t>
  </si>
  <si>
    <t>Sue</t>
  </si>
  <si>
    <t>Su</t>
  </si>
  <si>
    <t>Steve</t>
  </si>
  <si>
    <t>STEVE</t>
  </si>
  <si>
    <t>Stephen</t>
  </si>
  <si>
    <t>Stanley</t>
  </si>
  <si>
    <t>Stacey</t>
  </si>
  <si>
    <t>Sophie</t>
  </si>
  <si>
    <t>Sonny</t>
  </si>
  <si>
    <t>Toby</t>
  </si>
  <si>
    <t>Tom</t>
  </si>
  <si>
    <t>Ralph</t>
  </si>
  <si>
    <t>Tommy</t>
  </si>
  <si>
    <t>Xiaoping</t>
  </si>
  <si>
    <t>Wok</t>
  </si>
  <si>
    <t>William</t>
  </si>
  <si>
    <t>Wendy</t>
  </si>
  <si>
    <t>Wei</t>
  </si>
  <si>
    <t>Wayne</t>
  </si>
  <si>
    <t>Warren</t>
  </si>
  <si>
    <t>WAN</t>
  </si>
  <si>
    <t>Wade</t>
  </si>
  <si>
    <t>Vishwa</t>
  </si>
  <si>
    <t>Vincent</t>
  </si>
  <si>
    <t>Vikki</t>
  </si>
  <si>
    <t>Victor</t>
  </si>
  <si>
    <t>Vaughn</t>
  </si>
  <si>
    <t>Varun</t>
  </si>
  <si>
    <t>Valentin</t>
  </si>
  <si>
    <t>Vaclav</t>
  </si>
  <si>
    <t>Tysen</t>
  </si>
  <si>
    <t>Troy</t>
  </si>
  <si>
    <t>Trevor</t>
  </si>
  <si>
    <t>Travis</t>
  </si>
  <si>
    <t>Tony</t>
  </si>
  <si>
    <t>Toni</t>
  </si>
  <si>
    <t>Sonia</t>
  </si>
  <si>
    <t>Soham</t>
  </si>
  <si>
    <t>Soane</t>
  </si>
  <si>
    <t>Smeet</t>
  </si>
  <si>
    <t>Sam</t>
  </si>
  <si>
    <t>Ryan</t>
  </si>
  <si>
    <t>Rupesh</t>
  </si>
  <si>
    <t>Rupert</t>
  </si>
  <si>
    <t>Ruby</t>
  </si>
  <si>
    <t>Ronald</t>
  </si>
  <si>
    <t>Roel</t>
  </si>
  <si>
    <t>Rodrigo</t>
  </si>
  <si>
    <t>Rodger</t>
  </si>
  <si>
    <t>Rishi</t>
  </si>
  <si>
    <t>Richard</t>
  </si>
  <si>
    <t>Rhys</t>
  </si>
  <si>
    <t>Rhiannon</t>
  </si>
  <si>
    <t>Rena</t>
  </si>
  <si>
    <t>Reginald</t>
  </si>
  <si>
    <t>Ranveer</t>
  </si>
  <si>
    <t>Samantha</t>
  </si>
  <si>
    <t>Samuel</t>
  </si>
  <si>
    <t>Sandy</t>
  </si>
  <si>
    <t>Shaun</t>
  </si>
  <si>
    <t>Simon</t>
  </si>
  <si>
    <t>Sim</t>
  </si>
  <si>
    <t>Silas</t>
  </si>
  <si>
    <t>Sian</t>
  </si>
  <si>
    <t>Sherwin</t>
  </si>
  <si>
    <t>Sherry</t>
  </si>
  <si>
    <t>Shen</t>
  </si>
  <si>
    <t>Shelly</t>
  </si>
  <si>
    <t>Sheila</t>
  </si>
  <si>
    <t>Shawn</t>
  </si>
  <si>
    <t>Sharon</t>
  </si>
  <si>
    <t>Sara</t>
  </si>
  <si>
    <t>Shane</t>
  </si>
  <si>
    <t>Shamim</t>
  </si>
  <si>
    <t>Shamil</t>
  </si>
  <si>
    <t>Shakoor</t>
  </si>
  <si>
    <t>Seren</t>
  </si>
  <si>
    <t>Sean</t>
  </si>
  <si>
    <t>Scott</t>
  </si>
  <si>
    <t>Sarah</t>
  </si>
  <si>
    <t>Kathryn</t>
  </si>
  <si>
    <t>Katherine</t>
  </si>
  <si>
    <t>Karyn</t>
  </si>
  <si>
    <t>Clark</t>
  </si>
  <si>
    <t>Claire</t>
  </si>
  <si>
    <t>Christy</t>
  </si>
  <si>
    <t>Chris</t>
  </si>
  <si>
    <t>Charlotte</t>
  </si>
  <si>
    <t>Charlie</t>
  </si>
  <si>
    <t>Chanelle</t>
  </si>
  <si>
    <t>Chad</t>
  </si>
  <si>
    <t>Catherine</t>
  </si>
  <si>
    <t>Carlene</t>
  </si>
  <si>
    <t>Carlena</t>
  </si>
  <si>
    <t>Carl</t>
  </si>
  <si>
    <t>Campbell</t>
  </si>
  <si>
    <t>Cameron</t>
  </si>
  <si>
    <t>Bryan</t>
  </si>
  <si>
    <t>Bronnie</t>
  </si>
  <si>
    <t>Brian</t>
  </si>
  <si>
    <t>BRETT</t>
  </si>
  <si>
    <t>Brett</t>
  </si>
  <si>
    <t>Bret</t>
  </si>
  <si>
    <t>Brent</t>
  </si>
  <si>
    <t>Brayn</t>
  </si>
  <si>
    <t>Braedyn</t>
  </si>
  <si>
    <t>Brad</t>
  </si>
  <si>
    <t>Clayton</t>
  </si>
  <si>
    <t>EAMMON</t>
  </si>
  <si>
    <t>Cole</t>
  </si>
  <si>
    <t>Donny</t>
  </si>
  <si>
    <t>Don</t>
  </si>
  <si>
    <t>Dion</t>
  </si>
  <si>
    <t>Dillon</t>
  </si>
  <si>
    <t>Devin</t>
  </si>
  <si>
    <t>Denise</t>
  </si>
  <si>
    <t>Debbie</t>
  </si>
  <si>
    <t>Dawn</t>
  </si>
  <si>
    <t>David</t>
  </si>
  <si>
    <t>Dave</t>
  </si>
  <si>
    <t>Darryll</t>
  </si>
  <si>
    <t>Darrel</t>
  </si>
  <si>
    <t>Darin</t>
  </si>
  <si>
    <t>Danielle</t>
  </si>
  <si>
    <t>Daniel</t>
  </si>
  <si>
    <t>Dan</t>
  </si>
  <si>
    <t>Dale</t>
  </si>
  <si>
    <t>Craig</t>
  </si>
  <si>
    <t>Corinne</t>
  </si>
  <si>
    <t>Bodie</t>
  </si>
  <si>
    <t>Blake</t>
  </si>
  <si>
    <t>Bill</t>
  </si>
  <si>
    <t>Angela</t>
  </si>
  <si>
    <t>Andy</t>
  </si>
  <si>
    <t>Andrew</t>
  </si>
  <si>
    <t>Andreea</t>
  </si>
  <si>
    <t>Andrea</t>
  </si>
  <si>
    <t>Andre</t>
  </si>
  <si>
    <t>Amy</t>
  </si>
  <si>
    <t>Amber</t>
  </si>
  <si>
    <t>Amanda</t>
  </si>
  <si>
    <t>Alvin</t>
  </si>
  <si>
    <t>Allyce</t>
  </si>
  <si>
    <t>Alice</t>
  </si>
  <si>
    <t>Alfred</t>
  </si>
  <si>
    <t>Albert</t>
  </si>
  <si>
    <t>Alastair</t>
  </si>
  <si>
    <t>Agnes</t>
  </si>
  <si>
    <t>Adam</t>
  </si>
  <si>
    <t>Anil</t>
  </si>
  <si>
    <t>Ankit</t>
  </si>
  <si>
    <t>Behzad</t>
  </si>
  <si>
    <t>Bev</t>
  </si>
  <si>
    <t>Benny</t>
  </si>
  <si>
    <t>Ben</t>
  </si>
  <si>
    <t>Barry</t>
  </si>
  <si>
    <t>Barend</t>
  </si>
  <si>
    <t>Barbara</t>
  </si>
  <si>
    <t>Azad</t>
  </si>
  <si>
    <t>Atul</t>
  </si>
  <si>
    <t>Ashley</t>
  </si>
  <si>
    <t>Ariel</t>
  </si>
  <si>
    <t>Anya</t>
  </si>
  <si>
    <t>Anton</t>
  </si>
  <si>
    <t>Anthony</t>
  </si>
  <si>
    <t>Ant</t>
  </si>
  <si>
    <t>Karl</t>
  </si>
  <si>
    <t>Doug</t>
  </si>
  <si>
    <t>Earl</t>
  </si>
  <si>
    <t>Edward</t>
  </si>
  <si>
    <t>Jim</t>
  </si>
  <si>
    <t>Jessica</t>
  </si>
  <si>
    <t>Jeremy</t>
  </si>
  <si>
    <t>Jenny</t>
  </si>
  <si>
    <t>Jennifer</t>
  </si>
  <si>
    <t>Jen</t>
  </si>
  <si>
    <t>Jeff</t>
  </si>
  <si>
    <t>Jed</t>
  </si>
  <si>
    <t>Jaynie</t>
  </si>
  <si>
    <t>Jay</t>
  </si>
  <si>
    <t>Jasper</t>
  </si>
  <si>
    <t>Jason</t>
  </si>
  <si>
    <t>Jasnish</t>
  </si>
  <si>
    <t>Jarrod</t>
  </si>
  <si>
    <t>Janitha</t>
  </si>
  <si>
    <t>Jamie</t>
  </si>
  <si>
    <t>James</t>
  </si>
  <si>
    <t>Jiten</t>
  </si>
  <si>
    <t>Jodi</t>
  </si>
  <si>
    <t>Jove</t>
  </si>
  <si>
    <t>Karen</t>
  </si>
  <si>
    <t>Kameron</t>
  </si>
  <si>
    <t>Kail</t>
  </si>
  <si>
    <t>Justin</t>
  </si>
  <si>
    <t>Jun</t>
  </si>
  <si>
    <t>Julie</t>
  </si>
  <si>
    <t>Juliana</t>
  </si>
  <si>
    <t>Julian</t>
  </si>
  <si>
    <t>Julia</t>
  </si>
  <si>
    <t>Joshua</t>
  </si>
  <si>
    <t>Joe</t>
  </si>
  <si>
    <t>Josh</t>
  </si>
  <si>
    <t>John</t>
  </si>
  <si>
    <t>Johan</t>
  </si>
  <si>
    <t>Joey</t>
  </si>
  <si>
    <t>Joel</t>
  </si>
  <si>
    <t>Grant</t>
  </si>
  <si>
    <t>Graham</t>
  </si>
  <si>
    <t>Glenn</t>
  </si>
  <si>
    <t>Glen</t>
  </si>
  <si>
    <t>Gilbert</t>
  </si>
  <si>
    <t>Geoff</t>
  </si>
  <si>
    <t>Gavin</t>
  </si>
  <si>
    <t>Gary</t>
  </si>
  <si>
    <t>Garry</t>
  </si>
  <si>
    <t>Gagan</t>
  </si>
  <si>
    <t>Frederic</t>
  </si>
  <si>
    <t>Frank</t>
  </si>
  <si>
    <t>Florin</t>
  </si>
  <si>
    <t>Feroz</t>
  </si>
  <si>
    <t>Fang</t>
  </si>
  <si>
    <t>Evan</t>
  </si>
  <si>
    <t>Ernie</t>
  </si>
  <si>
    <t>Emran(Jay)</t>
  </si>
  <si>
    <t>Emma</t>
  </si>
  <si>
    <t>Elliot</t>
  </si>
  <si>
    <t>Ella</t>
  </si>
  <si>
    <t>Edwin</t>
  </si>
  <si>
    <t>Jake</t>
  </si>
  <si>
    <t>Jacqui</t>
  </si>
  <si>
    <t>Jacob</t>
  </si>
  <si>
    <t>Jackson</t>
  </si>
  <si>
    <t>Jackie</t>
  </si>
  <si>
    <t>Issac</t>
  </si>
  <si>
    <t>Isaac</t>
  </si>
  <si>
    <t>Irene</t>
  </si>
  <si>
    <t>Inna</t>
  </si>
  <si>
    <t>Ian</t>
  </si>
  <si>
    <t>Hugh</t>
  </si>
  <si>
    <t>Hitesh</t>
  </si>
  <si>
    <t>Hestrie</t>
  </si>
  <si>
    <t>Hester</t>
  </si>
  <si>
    <t>Henry</t>
  </si>
  <si>
    <t>Hayden</t>
  </si>
  <si>
    <t>Harpreet</t>
  </si>
  <si>
    <t>Hardeep</t>
  </si>
  <si>
    <t>Hannah</t>
  </si>
  <si>
    <t>Guy</t>
  </si>
  <si>
    <t>Gus</t>
  </si>
  <si>
    <t>Greg</t>
  </si>
  <si>
    <t>Yolanda</t>
  </si>
  <si>
    <t>Williams</t>
  </si>
  <si>
    <t>Kemp</t>
  </si>
  <si>
    <t>Ou</t>
  </si>
  <si>
    <t xml:space="preserve">Edwards </t>
  </si>
  <si>
    <t>Benton</t>
  </si>
  <si>
    <t>Banks</t>
  </si>
  <si>
    <t>Zhang</t>
  </si>
  <si>
    <t>Wallace</t>
  </si>
  <si>
    <t>Grainger</t>
  </si>
  <si>
    <t>Ferguson</t>
  </si>
  <si>
    <t xml:space="preserve">Reynolds </t>
  </si>
  <si>
    <t>Gonthier</t>
  </si>
  <si>
    <t>Martinez</t>
  </si>
  <si>
    <t>Holloway</t>
  </si>
  <si>
    <t>Nakhle</t>
  </si>
  <si>
    <t>Wilson</t>
  </si>
  <si>
    <t>Bell</t>
  </si>
  <si>
    <t xml:space="preserve">Shi </t>
  </si>
  <si>
    <t>Lee</t>
  </si>
  <si>
    <t>Unknown</t>
  </si>
  <si>
    <t>John Lawton</t>
  </si>
  <si>
    <t>Faulkner</t>
  </si>
  <si>
    <t>Dunbar</t>
  </si>
  <si>
    <t>Antoniadis</t>
  </si>
  <si>
    <t>Guilbert</t>
  </si>
  <si>
    <t>Fuller</t>
  </si>
  <si>
    <t>Martin</t>
  </si>
  <si>
    <t>Kumar Mangal</t>
  </si>
  <si>
    <t>Strawbridge</t>
  </si>
  <si>
    <t>Luo</t>
  </si>
  <si>
    <t>P Nadan</t>
  </si>
  <si>
    <t>Sharma</t>
  </si>
  <si>
    <t>Kamble</t>
  </si>
  <si>
    <t>Dumasia</t>
  </si>
  <si>
    <t>Rising Sun</t>
  </si>
  <si>
    <t>McCall</t>
  </si>
  <si>
    <t>Lin</t>
  </si>
  <si>
    <t>Smith</t>
  </si>
  <si>
    <t>Liu</t>
  </si>
  <si>
    <t>De Jong</t>
  </si>
  <si>
    <t>Ivan VIDOVICH</t>
  </si>
  <si>
    <t>Kim</t>
  </si>
  <si>
    <t xml:space="preserve">Aguiar </t>
  </si>
  <si>
    <t>Pillay</t>
  </si>
  <si>
    <t>Reeves</t>
  </si>
  <si>
    <t>McHardy</t>
  </si>
  <si>
    <t>King</t>
  </si>
  <si>
    <t>John  AALBERS</t>
  </si>
  <si>
    <t>Griffin</t>
  </si>
  <si>
    <t>Frazer</t>
  </si>
  <si>
    <t>Davis</t>
  </si>
  <si>
    <t>Connor</t>
  </si>
  <si>
    <t>Kueh</t>
  </si>
  <si>
    <t>Warwick</t>
  </si>
  <si>
    <t>Dhimar</t>
  </si>
  <si>
    <t>Xu</t>
  </si>
  <si>
    <t>Foley</t>
  </si>
  <si>
    <t>Yu</t>
  </si>
  <si>
    <t xml:space="preserve">Maoate </t>
  </si>
  <si>
    <t>Tuinukuafe</t>
  </si>
  <si>
    <t>Dohrman</t>
  </si>
  <si>
    <t>de Haan</t>
  </si>
  <si>
    <t>Colmar Pierard</t>
  </si>
  <si>
    <t>Abouelezz</t>
  </si>
  <si>
    <t>Holmes</t>
  </si>
  <si>
    <t>Keane</t>
  </si>
  <si>
    <t>Nash</t>
  </si>
  <si>
    <t>Bao</t>
  </si>
  <si>
    <t>Thompson</t>
  </si>
  <si>
    <t>Zonneveld</t>
  </si>
  <si>
    <t>Gillon</t>
  </si>
  <si>
    <t>Silby</t>
  </si>
  <si>
    <t>Whiting</t>
  </si>
  <si>
    <t xml:space="preserve">Harrington </t>
  </si>
  <si>
    <t>Aashford</t>
  </si>
  <si>
    <t>Chu</t>
  </si>
  <si>
    <t>Jiang</t>
  </si>
  <si>
    <t>Shi</t>
  </si>
  <si>
    <t>Anderson</t>
  </si>
  <si>
    <t>Cato</t>
  </si>
  <si>
    <t>Mckenzie</t>
  </si>
  <si>
    <t>singh Dandwal</t>
  </si>
  <si>
    <t>Harrison</t>
  </si>
  <si>
    <t>McKenzie</t>
  </si>
  <si>
    <t>Rothus</t>
  </si>
  <si>
    <t>Narayan</t>
  </si>
  <si>
    <t>Malloy</t>
  </si>
  <si>
    <t>Laszlo</t>
  </si>
  <si>
    <t xml:space="preserve">James WARE </t>
  </si>
  <si>
    <t>Atkinson</t>
  </si>
  <si>
    <t>Regis-Brannigan</t>
  </si>
  <si>
    <t>Riley</t>
  </si>
  <si>
    <t>Lamont</t>
  </si>
  <si>
    <t>Yozin</t>
  </si>
  <si>
    <t>Kirman</t>
  </si>
  <si>
    <t>Ray  DACKERS</t>
  </si>
  <si>
    <t>Singh</t>
  </si>
  <si>
    <t xml:space="preserve">Te Kani-McQueen </t>
  </si>
  <si>
    <t>Stanisich</t>
  </si>
  <si>
    <t>Moore</t>
  </si>
  <si>
    <t>Mei</t>
  </si>
  <si>
    <t xml:space="preserve">Lindsay </t>
  </si>
  <si>
    <t>Bindon</t>
  </si>
  <si>
    <t>Berryman</t>
  </si>
  <si>
    <t>Ozich</t>
  </si>
  <si>
    <t>Gadd</t>
  </si>
  <si>
    <t>HOFMANN</t>
  </si>
  <si>
    <t>Ashokkumar Kemkar</t>
  </si>
  <si>
    <t>Stanaway</t>
  </si>
  <si>
    <t>Patel</t>
  </si>
  <si>
    <t>Alexander</t>
  </si>
  <si>
    <t>Douglas</t>
  </si>
  <si>
    <t>Werry</t>
  </si>
  <si>
    <t>Sherwood</t>
  </si>
  <si>
    <t>Nolan</t>
  </si>
  <si>
    <t>Lipsham</t>
  </si>
  <si>
    <t>LIPSHAM</t>
  </si>
  <si>
    <t>Yeol PARK</t>
  </si>
  <si>
    <t>Negi</t>
  </si>
  <si>
    <t>Ataie</t>
  </si>
  <si>
    <t>Hyun Park</t>
  </si>
  <si>
    <t>Gray</t>
  </si>
  <si>
    <t>Garvey</t>
  </si>
  <si>
    <t>Brackebush</t>
  </si>
  <si>
    <t>BRACKEBUSH</t>
  </si>
  <si>
    <t>Wu</t>
  </si>
  <si>
    <t>Jeffels</t>
  </si>
  <si>
    <t>Eachus</t>
  </si>
  <si>
    <t>Benjamin</t>
  </si>
  <si>
    <t>O'Connor</t>
  </si>
  <si>
    <t>Elgar</t>
  </si>
  <si>
    <t>.</t>
  </si>
  <si>
    <t>Tisley</t>
  </si>
  <si>
    <t xml:space="preserve">Wyse </t>
  </si>
  <si>
    <t>Hill</t>
  </si>
  <si>
    <t>Macdonald</t>
  </si>
  <si>
    <t>Li</t>
  </si>
  <si>
    <t>Stehr</t>
  </si>
  <si>
    <t>Loader</t>
  </si>
  <si>
    <t>Adolph</t>
  </si>
  <si>
    <t xml:space="preserve">CHEM HOW </t>
  </si>
  <si>
    <t>Eatts</t>
  </si>
  <si>
    <t>Nadan</t>
  </si>
  <si>
    <t>Uys</t>
  </si>
  <si>
    <t>Shum</t>
  </si>
  <si>
    <t>McInnes</t>
  </si>
  <si>
    <t>Varghese</t>
  </si>
  <si>
    <t>Vadeanu</t>
  </si>
  <si>
    <t>Zeman</t>
  </si>
  <si>
    <t>Kay</t>
  </si>
  <si>
    <t>Jury</t>
  </si>
  <si>
    <t>Jull</t>
  </si>
  <si>
    <t>Fu</t>
  </si>
  <si>
    <t>Major</t>
  </si>
  <si>
    <t>Hammond</t>
  </si>
  <si>
    <t>Elliott</t>
  </si>
  <si>
    <t>Thawani</t>
  </si>
  <si>
    <t>Udare</t>
  </si>
  <si>
    <t>Wainiqolo</t>
  </si>
  <si>
    <t>Girish</t>
  </si>
  <si>
    <t>Loughnan</t>
  </si>
  <si>
    <t>Alrdini</t>
  </si>
  <si>
    <t>Allen</t>
  </si>
  <si>
    <t>Trainor</t>
  </si>
  <si>
    <t>Palmer</t>
  </si>
  <si>
    <t>Daniels</t>
  </si>
  <si>
    <t>Le Poidevin</t>
  </si>
  <si>
    <t>Shroff</t>
  </si>
  <si>
    <t>Copping</t>
  </si>
  <si>
    <t>Huang</t>
  </si>
  <si>
    <t>Boersen</t>
  </si>
  <si>
    <t xml:space="preserve">Gobenciong </t>
  </si>
  <si>
    <t>Seixas</t>
  </si>
  <si>
    <t>SINGH</t>
  </si>
  <si>
    <t>Clancy</t>
  </si>
  <si>
    <t>Chivers</t>
  </si>
  <si>
    <t>SCOTT</t>
  </si>
  <si>
    <t>Langston</t>
  </si>
  <si>
    <t>Kovacevich</t>
  </si>
  <si>
    <t>Te Maro</t>
  </si>
  <si>
    <t>Anand</t>
  </si>
  <si>
    <t>Chouhan</t>
  </si>
  <si>
    <t>Spratt</t>
  </si>
  <si>
    <t>Hines</t>
  </si>
  <si>
    <t>Blackledge</t>
  </si>
  <si>
    <t>York</t>
  </si>
  <si>
    <t>Muirhead</t>
  </si>
  <si>
    <t>Khor</t>
  </si>
  <si>
    <t>Coster</t>
  </si>
  <si>
    <t>McIntosh</t>
  </si>
  <si>
    <t>Cordero</t>
  </si>
  <si>
    <t>Yang</t>
  </si>
  <si>
    <t>(Shengxiong) ZHENG</t>
  </si>
  <si>
    <t>Leahair</t>
  </si>
  <si>
    <t>Boddington</t>
  </si>
  <si>
    <t>Deng</t>
  </si>
  <si>
    <t>Pearce</t>
  </si>
  <si>
    <t>Cunningham</t>
  </si>
  <si>
    <t>Beaty</t>
  </si>
  <si>
    <t>Delowe</t>
  </si>
  <si>
    <t>Khan</t>
  </si>
  <si>
    <t>Yakub GUJARATI</t>
  </si>
  <si>
    <t>Ball</t>
  </si>
  <si>
    <t>Hall</t>
  </si>
  <si>
    <t>Ross</t>
  </si>
  <si>
    <t>Duncan</t>
  </si>
  <si>
    <t>Cassidy</t>
  </si>
  <si>
    <t>Blakelock</t>
  </si>
  <si>
    <t>Berry</t>
  </si>
  <si>
    <t xml:space="preserve">Leaga Mini </t>
  </si>
  <si>
    <t>Park</t>
  </si>
  <si>
    <t xml:space="preserve">D. Bainbridge </t>
  </si>
  <si>
    <t>Erceg</t>
  </si>
  <si>
    <t>Tan</t>
  </si>
  <si>
    <t>Yeum</t>
  </si>
  <si>
    <t>Duke</t>
  </si>
  <si>
    <t>Shaw</t>
  </si>
  <si>
    <t xml:space="preserve">Kiddie  </t>
  </si>
  <si>
    <t xml:space="preserve">Houtwipper </t>
  </si>
  <si>
    <t>Fenton</t>
  </si>
  <si>
    <t xml:space="preserve">Horanyi </t>
  </si>
  <si>
    <t>Wong</t>
  </si>
  <si>
    <t>Inu</t>
  </si>
  <si>
    <t>Seagers</t>
  </si>
  <si>
    <t>Goodwin</t>
  </si>
  <si>
    <t xml:space="preserve">Upton </t>
  </si>
  <si>
    <t>George Evans</t>
  </si>
  <si>
    <t>Spinetto</t>
  </si>
  <si>
    <t>Cervantes</t>
  </si>
  <si>
    <t>SAXON</t>
  </si>
  <si>
    <t xml:space="preserve">La Hood </t>
  </si>
  <si>
    <t>Robinson</t>
  </si>
  <si>
    <t>Morris</t>
  </si>
  <si>
    <t>Durbin</t>
  </si>
  <si>
    <t>Watts</t>
  </si>
  <si>
    <t>Stoddard</t>
  </si>
  <si>
    <t>Paratene</t>
  </si>
  <si>
    <t>Stanley-Gonsalves</t>
  </si>
  <si>
    <t>O'BRIEN</t>
  </si>
  <si>
    <t>Philips</t>
  </si>
  <si>
    <t>Chan</t>
  </si>
  <si>
    <t>Wotherspoon</t>
  </si>
  <si>
    <t>Hurinui</t>
  </si>
  <si>
    <t>O'Leary</t>
  </si>
  <si>
    <t>Webber</t>
  </si>
  <si>
    <t>Robson</t>
  </si>
  <si>
    <t>Lyons</t>
  </si>
  <si>
    <t>Ding</t>
  </si>
  <si>
    <t>Stark</t>
  </si>
  <si>
    <t xml:space="preserve">Phillips </t>
  </si>
  <si>
    <t>Rodrigues</t>
  </si>
  <si>
    <t>Patience</t>
  </si>
  <si>
    <t>Ching</t>
  </si>
  <si>
    <t>CHRISTIAN</t>
  </si>
  <si>
    <t>Assink</t>
  </si>
  <si>
    <t>Cobb</t>
  </si>
  <si>
    <t>Kimpton</t>
  </si>
  <si>
    <t>Hawke-Mills</t>
  </si>
  <si>
    <t>Gunnell</t>
  </si>
  <si>
    <t>Black</t>
  </si>
  <si>
    <t>C. Bainbridge</t>
  </si>
  <si>
    <t>Lawrence</t>
  </si>
  <si>
    <t>Imbert</t>
  </si>
  <si>
    <t>Pearless</t>
  </si>
  <si>
    <t>Tasker</t>
  </si>
  <si>
    <t>Cooper</t>
  </si>
  <si>
    <t>Zhao</t>
  </si>
  <si>
    <t>Doran</t>
  </si>
  <si>
    <t xml:space="preserve">&amp; Carol van der Salm </t>
  </si>
  <si>
    <t>Randell</t>
  </si>
  <si>
    <t>Porteous</t>
  </si>
  <si>
    <t>Liang</t>
  </si>
  <si>
    <t>Havill</t>
  </si>
  <si>
    <t>Gradinaru</t>
  </si>
  <si>
    <t>Budd</t>
  </si>
  <si>
    <t xml:space="preserve">Boroevich </t>
  </si>
  <si>
    <t>Marchant</t>
  </si>
  <si>
    <t>Xia</t>
  </si>
  <si>
    <t>Manukia</t>
  </si>
  <si>
    <t>Clifton</t>
  </si>
  <si>
    <t>Ni</t>
  </si>
  <si>
    <t>Mucunabitu</t>
  </si>
  <si>
    <t>Hunt</t>
  </si>
  <si>
    <t>Nipper</t>
  </si>
  <si>
    <t xml:space="preserve">Kellett </t>
  </si>
  <si>
    <t>Asini</t>
  </si>
  <si>
    <t xml:space="preserve">Porter </t>
  </si>
  <si>
    <t>Rolston</t>
  </si>
  <si>
    <t>Jasmat</t>
  </si>
  <si>
    <t>Vaid</t>
  </si>
  <si>
    <t>Kanani</t>
  </si>
  <si>
    <t>Saxson</t>
  </si>
  <si>
    <t>Griffiths</t>
  </si>
  <si>
    <t>Upperton</t>
  </si>
  <si>
    <t>Lewis</t>
  </si>
  <si>
    <t>Holland</t>
  </si>
  <si>
    <t>Holdich</t>
  </si>
  <si>
    <t>Gibbens</t>
  </si>
  <si>
    <t>Bos</t>
  </si>
  <si>
    <t>Mullane</t>
  </si>
  <si>
    <t xml:space="preserve">Long </t>
  </si>
  <si>
    <t>Page</t>
  </si>
  <si>
    <t xml:space="preserve">Davis </t>
  </si>
  <si>
    <t>Salazar</t>
  </si>
  <si>
    <t>Yousifi</t>
  </si>
  <si>
    <t>Arora</t>
  </si>
  <si>
    <t>Silveira</t>
  </si>
  <si>
    <t>Sheffieid</t>
  </si>
  <si>
    <t>Aalders</t>
  </si>
  <si>
    <t>Robb</t>
  </si>
  <si>
    <t>Mcrae</t>
  </si>
  <si>
    <t>Fortheringhame</t>
  </si>
  <si>
    <t>Coxhead</t>
  </si>
  <si>
    <t>Nicholas</t>
  </si>
  <si>
    <t>Tauiwi</t>
  </si>
  <si>
    <t>Pantaleon</t>
  </si>
  <si>
    <t>Pineda</t>
  </si>
  <si>
    <t>Kinmond</t>
  </si>
  <si>
    <t>Gleeson</t>
  </si>
  <si>
    <t>Thomas</t>
  </si>
  <si>
    <t>Somebody</t>
  </si>
  <si>
    <t>Rollinson</t>
  </si>
  <si>
    <t>Liao</t>
  </si>
  <si>
    <t>Draper</t>
  </si>
  <si>
    <t>and Rhonda Albom</t>
  </si>
  <si>
    <t>Raddaly</t>
  </si>
  <si>
    <t>Terry LORENZEN</t>
  </si>
  <si>
    <t>Morrison</t>
  </si>
  <si>
    <t>Wech</t>
  </si>
  <si>
    <t>Kemble</t>
  </si>
  <si>
    <t>Gujral</t>
  </si>
  <si>
    <t>Angrove</t>
  </si>
  <si>
    <t>Madushani</t>
  </si>
  <si>
    <t>Barrow</t>
  </si>
  <si>
    <t>Song</t>
  </si>
  <si>
    <t>May</t>
  </si>
  <si>
    <t xml:space="preserve">Kinmond </t>
  </si>
  <si>
    <t>Hodgetts</t>
  </si>
  <si>
    <t>Jia</t>
  </si>
  <si>
    <t>Crosbie</t>
  </si>
  <si>
    <t>Sampson</t>
  </si>
  <si>
    <t>Chand</t>
  </si>
  <si>
    <t xml:space="preserve">Cowan </t>
  </si>
  <si>
    <t>Gardien</t>
  </si>
  <si>
    <t>Brons</t>
  </si>
  <si>
    <t>Leighton</t>
  </si>
  <si>
    <t>Fong</t>
  </si>
  <si>
    <t>Staples</t>
  </si>
  <si>
    <t>Scarlett</t>
  </si>
  <si>
    <t>Mills</t>
  </si>
  <si>
    <t>Adam GRANT</t>
  </si>
  <si>
    <t>Hilton-Jones</t>
  </si>
  <si>
    <t>Hilton Jones</t>
  </si>
  <si>
    <t>Clifford</t>
  </si>
  <si>
    <t>Drummond</t>
  </si>
  <si>
    <t>Massyn</t>
  </si>
  <si>
    <t>Barnett</t>
  </si>
  <si>
    <t>Macreadie</t>
  </si>
  <si>
    <t>Tiplady</t>
  </si>
  <si>
    <t>Lu</t>
  </si>
  <si>
    <t>Ciurlionis</t>
  </si>
  <si>
    <t>Braddock</t>
  </si>
  <si>
    <t>Hosking</t>
  </si>
  <si>
    <t>MACPHERSON,</t>
  </si>
  <si>
    <t>Byron</t>
  </si>
  <si>
    <t>Hunter</t>
  </si>
  <si>
    <t>Holt</t>
  </si>
  <si>
    <t>Xie</t>
  </si>
  <si>
    <t>Silvester</t>
  </si>
  <si>
    <t>Judd</t>
  </si>
  <si>
    <t>Roosenbrand</t>
  </si>
  <si>
    <t>Mitri</t>
  </si>
  <si>
    <t>Deep Gupta</t>
  </si>
  <si>
    <t>Diaconescu</t>
  </si>
  <si>
    <t>Dong</t>
  </si>
  <si>
    <t>Hogg</t>
  </si>
  <si>
    <t>Zeidan</t>
  </si>
  <si>
    <t>Bolton</t>
  </si>
  <si>
    <t>Redmond</t>
  </si>
  <si>
    <t>Cruz</t>
  </si>
  <si>
    <t>Douglas Richards</t>
  </si>
  <si>
    <t>James MARWICK</t>
  </si>
  <si>
    <t>Phillips</t>
  </si>
  <si>
    <t xml:space="preserve">Baker </t>
  </si>
  <si>
    <t>Ogle</t>
  </si>
  <si>
    <t>McDougall</t>
  </si>
  <si>
    <t>He</t>
  </si>
  <si>
    <t>Fa'alogo</t>
  </si>
  <si>
    <t>Driver</t>
  </si>
  <si>
    <t>Bessey</t>
  </si>
  <si>
    <t xml:space="preserve">Morrow </t>
  </si>
  <si>
    <t>Nisbet</t>
  </si>
  <si>
    <t>Els</t>
  </si>
  <si>
    <t>Dunham</t>
  </si>
  <si>
    <t>Allan</t>
  </si>
  <si>
    <t>Tillman</t>
  </si>
  <si>
    <t>Irwin</t>
  </si>
  <si>
    <t>Goodale</t>
  </si>
  <si>
    <t>Dobson</t>
  </si>
  <si>
    <t>Slade</t>
  </si>
  <si>
    <t>Havenga</t>
  </si>
  <si>
    <t>PM</t>
  </si>
  <si>
    <t>Amanda Chisholm</t>
  </si>
  <si>
    <t>Chisholm</t>
  </si>
  <si>
    <t xml:space="preserve">Madison Park Homes </t>
  </si>
  <si>
    <t>Titus Group Ltd</t>
  </si>
  <si>
    <t>09 555 3730</t>
  </si>
  <si>
    <t xml:space="preserve">Fotheringhame Builders Ltd </t>
  </si>
  <si>
    <t>Amrock Builders Ltd</t>
  </si>
  <si>
    <t>Flash Homes Ltd</t>
  </si>
  <si>
    <t>Kina Construct Ltd</t>
  </si>
  <si>
    <t>Zeafield Development Group</t>
  </si>
  <si>
    <t>first_name</t>
  </si>
  <si>
    <t>last_name</t>
  </si>
  <si>
    <t>Company</t>
  </si>
  <si>
    <t>phone</t>
  </si>
  <si>
    <t>09 8155714</t>
  </si>
  <si>
    <t>additiona_phone</t>
  </si>
  <si>
    <t>027 2719098</t>
  </si>
  <si>
    <t>phone2</t>
  </si>
  <si>
    <t>021 2460917</t>
  </si>
  <si>
    <t>02I0751200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</si>
</sst>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ABB2BF"/>
      <name val="Consolas"/>
      <family val="3"/>
    </font>
    <font>
      <b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3" fillId="0" borderId="0" xfId="0" applyFont="1"/>
    <xf numFmtId="1" fontId="4" fillId="0" borderId="1" xfId="0" applyNumberFormat="1" applyFont="1" applyBorder="1" applyAlignment="1">
      <alignment horizontal="center" vertical="top"/>
    </xf>
    <xf numFmtId="0" fontId="5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1"/>
  <sheetViews>
    <sheetView tabSelected="1" workbookViewId="0">
      <selection activeCell="F2" sqref="F2"/>
    </sheetView>
  </sheetViews>
  <sheetFormatPr defaultRowHeight="15" x14ac:dyDescent="0.25"/>
  <cols>
    <col min="1" max="1" width="51.42578125" customWidth="1"/>
    <col min="2" max="2" width="26.5703125" bestFit="1" customWidth="1"/>
    <col min="3" max="3" width="21.140625" bestFit="1" customWidth="1"/>
    <col min="4" max="4" width="15.42578125" bestFit="1" customWidth="1"/>
    <col min="5" max="5" width="15.42578125" style="6" customWidth="1"/>
    <col min="6" max="6" width="15.42578125" style="10" customWidth="1"/>
    <col min="7" max="7" width="17.85546875" customWidth="1"/>
    <col min="8" max="8" width="40.5703125" bestFit="1" customWidth="1"/>
    <col min="9" max="9" width="16.5703125" bestFit="1" customWidth="1"/>
    <col min="10" max="10" width="32.5703125" bestFit="1" customWidth="1"/>
    <col min="11" max="11" width="11.7109375" bestFit="1" customWidth="1"/>
    <col min="12" max="12" width="19.85546875" bestFit="1" customWidth="1"/>
  </cols>
  <sheetData>
    <row r="1" spans="1:12" x14ac:dyDescent="0.25">
      <c r="A1" s="1" t="s">
        <v>2564</v>
      </c>
      <c r="B1" s="1" t="s">
        <v>0</v>
      </c>
      <c r="C1" s="1" t="s">
        <v>1</v>
      </c>
      <c r="D1" s="1" t="s">
        <v>2565</v>
      </c>
      <c r="E1" s="5" t="s">
        <v>2569</v>
      </c>
      <c r="F1" s="8"/>
      <c r="G1" s="1" t="s">
        <v>2567</v>
      </c>
      <c r="H1" s="1" t="s">
        <v>2</v>
      </c>
      <c r="I1" s="1" t="s">
        <v>3</v>
      </c>
      <c r="J1" s="1" t="s">
        <v>4</v>
      </c>
      <c r="K1" s="1" t="s">
        <v>2562</v>
      </c>
      <c r="L1" s="1" t="s">
        <v>2563</v>
      </c>
    </row>
    <row r="2" spans="1:12" x14ac:dyDescent="0.25">
      <c r="A2" t="s">
        <v>5</v>
      </c>
      <c r="B2" t="s">
        <v>310</v>
      </c>
      <c r="C2" t="s">
        <v>758</v>
      </c>
      <c r="D2" s="4">
        <v>21764535</v>
      </c>
      <c r="E2" s="4">
        <v>21764535</v>
      </c>
      <c r="F2" s="7" t="str">
        <f>IF(OR(LEN(SUBSTITUTE(SUBSTITUTE(SUBSTITUTE(E1, " ", ""), "-", ""), "+", ""))=9, LEN(SUBSTITUTE(SUBSTITUTE(SUBSTITUTE(E1, " ", ""), "-", ""), "+", ""))=10), RIGHT("0" &amp; SUBSTITUTE(SUBSTITUTE(SUBSTITUTE(E1, " ", ""), "-", ""), "+", ""), 10), IF(LEN(SUBSTITUTE(SUBSTITUTE(SUBSTITUTE(E1, " ", ""), "-", ""), "+", ""))=11, RIGHT(SUBSTITUTE(SUBSTITUTE(SUBSTITUTE(E1, " ", ""), "-", ""), "+", ""), 10), "Invalid number"))</f>
        <v>Invalid number</v>
      </c>
      <c r="H2" t="s">
        <v>1326</v>
      </c>
      <c r="J2" t="s">
        <v>1785</v>
      </c>
      <c r="K2" t="s">
        <v>1814</v>
      </c>
      <c r="L2" t="s">
        <v>2150</v>
      </c>
    </row>
    <row r="3" spans="1:12" x14ac:dyDescent="0.25">
      <c r="A3" t="s">
        <v>97</v>
      </c>
      <c r="B3" t="s">
        <v>420</v>
      </c>
      <c r="C3" t="s">
        <v>758</v>
      </c>
      <c r="D3" t="s">
        <v>874</v>
      </c>
      <c r="E3" s="6">
        <f>_xlfn.NUMBERVALUE(D3)</f>
        <v>225365819</v>
      </c>
      <c r="F3" s="9" t="str" cm="1">
        <f t="array" ref="F3">_xlfn.LET( _xlpm.original, E3,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022 536 5819</v>
      </c>
      <c r="H3" t="s">
        <v>1440</v>
      </c>
      <c r="J3" t="s">
        <v>769</v>
      </c>
      <c r="K3" t="s">
        <v>1890</v>
      </c>
      <c r="L3" t="s">
        <v>2260</v>
      </c>
    </row>
    <row r="4" spans="1:12" x14ac:dyDescent="0.25">
      <c r="A4" t="s">
        <v>114</v>
      </c>
      <c r="B4" t="s">
        <v>611</v>
      </c>
      <c r="C4" t="s">
        <v>758</v>
      </c>
      <c r="D4" t="s">
        <v>2568</v>
      </c>
      <c r="E4" s="6">
        <f t="shared" ref="E4:E67" si="0">_xlfn.NUMBERVALUE(D4)</f>
        <v>272719098</v>
      </c>
      <c r="F4" s="9" t="str" cm="1">
        <f t="array" ref="F4">_xlfn.LET( _xlpm.original, E4,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027 271 9098</v>
      </c>
      <c r="G4" t="s">
        <v>2566</v>
      </c>
      <c r="H4" t="s">
        <v>1638</v>
      </c>
      <c r="J4" t="s">
        <v>768</v>
      </c>
      <c r="K4" t="s">
        <v>2047</v>
      </c>
      <c r="L4" t="s">
        <v>2436</v>
      </c>
    </row>
    <row r="5" spans="1:12" x14ac:dyDescent="0.25">
      <c r="A5" t="s">
        <v>169</v>
      </c>
      <c r="B5" t="s">
        <v>610</v>
      </c>
      <c r="C5" t="s">
        <v>758</v>
      </c>
      <c r="D5" t="s">
        <v>1048</v>
      </c>
      <c r="E5" s="6">
        <f t="shared" si="0"/>
        <v>275817334</v>
      </c>
      <c r="F5" s="9" t="str" cm="1">
        <f t="array" ref="F5">_xlfn.LET( _xlpm.original, E5,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027 581 7334</v>
      </c>
      <c r="H5" t="s">
        <v>1636</v>
      </c>
      <c r="I5" t="s">
        <v>1637</v>
      </c>
      <c r="J5" t="s">
        <v>759</v>
      </c>
      <c r="K5" t="s">
        <v>2046</v>
      </c>
      <c r="L5" t="s">
        <v>2435</v>
      </c>
    </row>
    <row r="6" spans="1:12" x14ac:dyDescent="0.25">
      <c r="A6" t="s">
        <v>110</v>
      </c>
      <c r="B6" t="s">
        <v>609</v>
      </c>
      <c r="C6" t="s">
        <v>758</v>
      </c>
      <c r="D6" t="s">
        <v>1047</v>
      </c>
      <c r="E6" s="6">
        <f t="shared" si="0"/>
        <v>2102330666</v>
      </c>
      <c r="F6" s="9" t="str" cm="1">
        <f t="array" ref="F6">_xlfn.LET( _xlpm.original, E6,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210 233 0666</v>
      </c>
      <c r="G6" t="s">
        <v>1227</v>
      </c>
      <c r="H6" t="s">
        <v>1635</v>
      </c>
      <c r="J6" t="s">
        <v>762</v>
      </c>
      <c r="K6" t="s">
        <v>2045</v>
      </c>
      <c r="L6" t="s">
        <v>2434</v>
      </c>
    </row>
    <row r="7" spans="1:12" x14ac:dyDescent="0.25">
      <c r="B7" t="s">
        <v>608</v>
      </c>
      <c r="C7" t="s">
        <v>758</v>
      </c>
      <c r="D7" t="s">
        <v>1046</v>
      </c>
      <c r="E7" s="6">
        <f t="shared" si="0"/>
        <v>21915161</v>
      </c>
      <c r="F7" s="9" t="str" cm="1">
        <f t="array" ref="F7">_xlfn.LET( _xlpm.original, E7,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021 915 161</v>
      </c>
      <c r="H7" t="s">
        <v>1634</v>
      </c>
      <c r="J7" t="s">
        <v>1791</v>
      </c>
      <c r="K7" t="s">
        <v>2044</v>
      </c>
      <c r="L7" t="s">
        <v>2433</v>
      </c>
    </row>
    <row r="8" spans="1:12" x14ac:dyDescent="0.25">
      <c r="A8" t="s">
        <v>52</v>
      </c>
      <c r="B8" t="s">
        <v>607</v>
      </c>
      <c r="C8" t="s">
        <v>762</v>
      </c>
      <c r="D8" s="2">
        <v>94152727</v>
      </c>
      <c r="E8" s="6">
        <f t="shared" si="0"/>
        <v>94152727</v>
      </c>
      <c r="F8" s="9" t="str" cm="1">
        <f t="array" ref="F8">_xlfn.LET( _xlpm.original, E8,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094 152 727</v>
      </c>
      <c r="G8" t="s">
        <v>1282</v>
      </c>
      <c r="H8" t="s">
        <v>1633</v>
      </c>
      <c r="J8" t="s">
        <v>762</v>
      </c>
      <c r="K8" t="s">
        <v>2043</v>
      </c>
      <c r="L8" t="s">
        <v>2432</v>
      </c>
    </row>
    <row r="9" spans="1:12" x14ac:dyDescent="0.25">
      <c r="A9" t="s">
        <v>75</v>
      </c>
      <c r="B9" t="s">
        <v>606</v>
      </c>
      <c r="C9" t="s">
        <v>762</v>
      </c>
      <c r="D9" t="s">
        <v>1045</v>
      </c>
      <c r="E9" s="6">
        <f t="shared" si="0"/>
        <v>211914869</v>
      </c>
      <c r="F9" s="9" t="str" cm="1">
        <f t="array" ref="F9">_xlfn.LET( _xlpm.original, E9,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021 191 4869</v>
      </c>
      <c r="H9" t="s">
        <v>1632</v>
      </c>
      <c r="J9" t="s">
        <v>762</v>
      </c>
      <c r="K9" t="s">
        <v>2043</v>
      </c>
      <c r="L9" t="s">
        <v>2431</v>
      </c>
    </row>
    <row r="10" spans="1:12" x14ac:dyDescent="0.25">
      <c r="A10" t="s">
        <v>217</v>
      </c>
      <c r="B10" t="s">
        <v>605</v>
      </c>
      <c r="C10" t="s">
        <v>758</v>
      </c>
      <c r="D10" t="s">
        <v>1044</v>
      </c>
      <c r="E10" s="6">
        <f t="shared" si="0"/>
        <v>21544512</v>
      </c>
      <c r="F10" s="9" t="str" cm="1">
        <f t="array" ref="F10">_xlfn.LET( _xlpm.original, E10,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021 544 512</v>
      </c>
      <c r="G10" t="s">
        <v>1281</v>
      </c>
      <c r="H10" t="s">
        <v>1631</v>
      </c>
      <c r="J10" t="s">
        <v>766</v>
      </c>
      <c r="K10" t="s">
        <v>2042</v>
      </c>
      <c r="L10" t="s">
        <v>2430</v>
      </c>
    </row>
    <row r="11" spans="1:12" x14ac:dyDescent="0.25">
      <c r="A11" t="s">
        <v>216</v>
      </c>
      <c r="B11" t="s">
        <v>605</v>
      </c>
      <c r="C11" t="s">
        <v>758</v>
      </c>
      <c r="D11" t="s">
        <v>1043</v>
      </c>
      <c r="E11" s="6">
        <f t="shared" si="0"/>
        <v>21544512</v>
      </c>
      <c r="F11" s="9" t="str" cm="1">
        <f t="array" ref="F11">_xlfn.LET( _xlpm.original, E11,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021 544 512</v>
      </c>
      <c r="G11" t="s">
        <v>1280</v>
      </c>
      <c r="H11" t="s">
        <v>1631</v>
      </c>
      <c r="J11" t="s">
        <v>762</v>
      </c>
      <c r="K11" t="s">
        <v>2042</v>
      </c>
      <c r="L11" t="s">
        <v>2430</v>
      </c>
    </row>
    <row r="12" spans="1:12" x14ac:dyDescent="0.25">
      <c r="A12" t="s">
        <v>215</v>
      </c>
      <c r="B12" t="s">
        <v>604</v>
      </c>
      <c r="C12" t="s">
        <v>760</v>
      </c>
      <c r="D12" t="s">
        <v>1042</v>
      </c>
      <c r="E12" s="6">
        <f t="shared" si="0"/>
        <v>21836268</v>
      </c>
      <c r="F12" s="9" t="str" cm="1">
        <f t="array" ref="F12">_xlfn.LET( _xlpm.original, E12,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021 836 268</v>
      </c>
      <c r="H12" t="s">
        <v>1630</v>
      </c>
      <c r="J12" t="s">
        <v>759</v>
      </c>
      <c r="K12" t="s">
        <v>2041</v>
      </c>
      <c r="L12" t="s">
        <v>2429</v>
      </c>
    </row>
    <row r="13" spans="1:12" x14ac:dyDescent="0.25">
      <c r="A13" t="s">
        <v>114</v>
      </c>
      <c r="B13" t="s">
        <v>603</v>
      </c>
      <c r="C13" t="s">
        <v>758</v>
      </c>
      <c r="D13" t="s">
        <v>1041</v>
      </c>
      <c r="E13" s="6">
        <f t="shared" si="0"/>
        <v>274065146</v>
      </c>
      <c r="F13" s="9" t="str" cm="1">
        <f t="array" ref="F13">_xlfn.LET( _xlpm.original, E13,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027 406 5146</v>
      </c>
      <c r="H13" t="s">
        <v>1629</v>
      </c>
      <c r="J13" t="s">
        <v>768</v>
      </c>
      <c r="K13" t="s">
        <v>2040</v>
      </c>
      <c r="L13" t="s">
        <v>2428</v>
      </c>
    </row>
    <row r="14" spans="1:12" x14ac:dyDescent="0.25">
      <c r="A14" t="s">
        <v>214</v>
      </c>
      <c r="B14" t="s">
        <v>602</v>
      </c>
      <c r="C14" t="s">
        <v>762</v>
      </c>
      <c r="D14">
        <v>212613378</v>
      </c>
      <c r="E14" s="6">
        <f t="shared" si="0"/>
        <v>212613378</v>
      </c>
      <c r="F14" s="9" t="str" cm="1">
        <f t="array" ref="F14">_xlfn.LET( _xlpm.original, E14,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021 261 3378</v>
      </c>
      <c r="G14" t="s">
        <v>1279</v>
      </c>
      <c r="H14" t="s">
        <v>1628</v>
      </c>
      <c r="J14" t="s">
        <v>762</v>
      </c>
      <c r="K14" t="s">
        <v>2040</v>
      </c>
      <c r="L14" t="s">
        <v>2427</v>
      </c>
    </row>
    <row r="15" spans="1:12" x14ac:dyDescent="0.25">
      <c r="A15" t="s">
        <v>213</v>
      </c>
      <c r="B15" t="s">
        <v>601</v>
      </c>
      <c r="C15" t="s">
        <v>758</v>
      </c>
      <c r="D15" t="s">
        <v>1040</v>
      </c>
      <c r="E15" s="6">
        <f t="shared" si="0"/>
        <v>275914505</v>
      </c>
      <c r="F15" s="9" t="str" cm="1">
        <f t="array" ref="F15">_xlfn.LET( _xlpm.original, E15,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027 591 4505</v>
      </c>
      <c r="G15" t="s">
        <v>1278</v>
      </c>
      <c r="H15" t="s">
        <v>1627</v>
      </c>
      <c r="J15" t="s">
        <v>759</v>
      </c>
      <c r="K15" t="s">
        <v>2039</v>
      </c>
      <c r="L15" t="s">
        <v>2352</v>
      </c>
    </row>
    <row r="16" spans="1:12" x14ac:dyDescent="0.25">
      <c r="A16" t="s">
        <v>212</v>
      </c>
      <c r="B16" t="s">
        <v>2552</v>
      </c>
      <c r="C16" t="s">
        <v>758</v>
      </c>
      <c r="D16" t="s">
        <v>1039</v>
      </c>
      <c r="E16" s="6">
        <f t="shared" si="0"/>
        <v>21886120</v>
      </c>
      <c r="F16" s="9" t="str" cm="1">
        <f t="array" ref="F16">_xlfn.LET( _xlpm.original, E16,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021 886 120</v>
      </c>
      <c r="H16" t="s">
        <v>1626</v>
      </c>
      <c r="J16" t="s">
        <v>1785</v>
      </c>
      <c r="K16" t="s">
        <v>2039</v>
      </c>
      <c r="L16" t="s">
        <v>2553</v>
      </c>
    </row>
    <row r="17" spans="1:12" x14ac:dyDescent="0.25">
      <c r="A17" t="s">
        <v>211</v>
      </c>
      <c r="B17" t="s">
        <v>600</v>
      </c>
      <c r="C17" t="s">
        <v>759</v>
      </c>
      <c r="D17" t="s">
        <v>1038</v>
      </c>
      <c r="E17" s="6">
        <f t="shared" si="0"/>
        <v>21759507</v>
      </c>
      <c r="F17" s="9" t="str" cm="1">
        <f t="array" ref="F17">_xlfn.LET( _xlpm.original, E17,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021 759 507</v>
      </c>
      <c r="G17" t="s">
        <v>1277</v>
      </c>
      <c r="H17" t="s">
        <v>1625</v>
      </c>
      <c r="J17" t="s">
        <v>759</v>
      </c>
      <c r="K17" t="s">
        <v>2038</v>
      </c>
      <c r="L17" t="s">
        <v>2426</v>
      </c>
    </row>
    <row r="18" spans="1:12" x14ac:dyDescent="0.25">
      <c r="A18" t="s">
        <v>210</v>
      </c>
      <c r="B18" t="s">
        <v>599</v>
      </c>
      <c r="C18" t="s">
        <v>758</v>
      </c>
      <c r="D18" t="s">
        <v>1037</v>
      </c>
      <c r="E18" s="6">
        <f t="shared" si="0"/>
        <v>212463175</v>
      </c>
      <c r="F18" s="9" t="str" cm="1">
        <f t="array" ref="F18">_xlfn.LET( _xlpm.original, E18,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021 246 3175</v>
      </c>
      <c r="G18" t="s">
        <v>2556</v>
      </c>
      <c r="H18" t="s">
        <v>1624</v>
      </c>
      <c r="J18" t="s">
        <v>759</v>
      </c>
      <c r="K18" t="s">
        <v>2037</v>
      </c>
      <c r="L18" t="s">
        <v>2425</v>
      </c>
    </row>
    <row r="19" spans="1:12" x14ac:dyDescent="0.25">
      <c r="A19" t="s">
        <v>2555</v>
      </c>
      <c r="B19" t="s">
        <v>598</v>
      </c>
      <c r="C19" t="s">
        <v>758</v>
      </c>
      <c r="D19" t="s">
        <v>1036</v>
      </c>
      <c r="E19" s="6">
        <f t="shared" si="0"/>
        <v>224565822</v>
      </c>
      <c r="F19" s="9" t="str" cm="1">
        <f t="array" ref="F19">_xlfn.LET( _xlpm.original, E19,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022 456 5822</v>
      </c>
      <c r="H19" t="s">
        <v>1623</v>
      </c>
      <c r="J19" t="s">
        <v>1786</v>
      </c>
      <c r="K19" t="s">
        <v>2036</v>
      </c>
      <c r="L19" t="s">
        <v>2424</v>
      </c>
    </row>
    <row r="20" spans="1:12" x14ac:dyDescent="0.25">
      <c r="A20" t="s">
        <v>110</v>
      </c>
      <c r="B20" t="s">
        <v>597</v>
      </c>
      <c r="C20" t="s">
        <v>764</v>
      </c>
      <c r="E20" s="6">
        <f t="shared" si="0"/>
        <v>0</v>
      </c>
      <c r="F20" s="9" t="str" cm="1">
        <f t="array" ref="F20">_xlfn.LET( _xlpm.original, E20,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0" t="s">
        <v>1227</v>
      </c>
      <c r="H20" t="s">
        <v>1622</v>
      </c>
      <c r="J20" t="s">
        <v>764</v>
      </c>
      <c r="K20" t="s">
        <v>2035</v>
      </c>
      <c r="L20" t="s">
        <v>2176</v>
      </c>
    </row>
    <row r="21" spans="1:12" x14ac:dyDescent="0.25">
      <c r="A21" t="s">
        <v>75</v>
      </c>
      <c r="B21" t="s">
        <v>596</v>
      </c>
      <c r="C21" t="s">
        <v>758</v>
      </c>
      <c r="D21" t="s">
        <v>1035</v>
      </c>
      <c r="E21" s="6">
        <f t="shared" si="0"/>
        <v>220951924</v>
      </c>
      <c r="F21" s="9" t="str" cm="1">
        <f t="array" ref="F21">_xlfn.LET( _xlpm.original, E21,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022 095 1924</v>
      </c>
      <c r="G21" t="s">
        <v>1216</v>
      </c>
      <c r="H21" t="s">
        <v>1621</v>
      </c>
      <c r="J21" t="s">
        <v>762</v>
      </c>
      <c r="K21" t="s">
        <v>2034</v>
      </c>
      <c r="L21" t="s">
        <v>2423</v>
      </c>
    </row>
    <row r="22" spans="1:12" x14ac:dyDescent="0.25">
      <c r="A22" t="s">
        <v>56</v>
      </c>
      <c r="B22" t="s">
        <v>595</v>
      </c>
      <c r="C22" t="s">
        <v>758</v>
      </c>
      <c r="D22" t="s">
        <v>1034</v>
      </c>
      <c r="E22" s="6">
        <f t="shared" si="0"/>
        <v>21591181</v>
      </c>
      <c r="F22" s="9" t="str" cm="1">
        <f t="array" ref="F22">_xlfn.LET( _xlpm.original, E22,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021 591 181</v>
      </c>
      <c r="G22" t="s">
        <v>1200</v>
      </c>
      <c r="H22" t="s">
        <v>1505</v>
      </c>
      <c r="J22" t="s">
        <v>1790</v>
      </c>
      <c r="K22" t="s">
        <v>2033</v>
      </c>
      <c r="L22" t="s">
        <v>2422</v>
      </c>
    </row>
    <row r="23" spans="1:12" x14ac:dyDescent="0.25">
      <c r="A23" t="s">
        <v>209</v>
      </c>
      <c r="B23" t="s">
        <v>594</v>
      </c>
      <c r="C23" t="s">
        <v>759</v>
      </c>
      <c r="D23" t="s">
        <v>1033</v>
      </c>
      <c r="E23" s="6">
        <f t="shared" si="0"/>
        <v>211010838</v>
      </c>
      <c r="F23" s="9" t="str" cm="1">
        <f t="array" ref="F23">_xlfn.LET( _xlpm.original, E23,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021 101 0838</v>
      </c>
      <c r="G23" t="s">
        <v>1276</v>
      </c>
      <c r="H23" t="s">
        <v>1620</v>
      </c>
      <c r="J23" t="s">
        <v>759</v>
      </c>
      <c r="K23" t="s">
        <v>2033</v>
      </c>
      <c r="L23" t="s">
        <v>2421</v>
      </c>
    </row>
    <row r="24" spans="1:12" x14ac:dyDescent="0.25">
      <c r="A24" t="s">
        <v>208</v>
      </c>
      <c r="B24" t="s">
        <v>593</v>
      </c>
      <c r="C24" t="s">
        <v>758</v>
      </c>
      <c r="D24" t="s">
        <v>1032</v>
      </c>
      <c r="E24" s="6">
        <f t="shared" si="0"/>
        <v>221947492</v>
      </c>
      <c r="F24" s="9" t="str" cm="1">
        <f t="array" ref="F24">_xlfn.LET( _xlpm.original, E24,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022 194 7492</v>
      </c>
      <c r="H24" t="s">
        <v>1619</v>
      </c>
      <c r="J24" t="s">
        <v>1785</v>
      </c>
      <c r="K24" t="s">
        <v>2033</v>
      </c>
      <c r="L24" t="s">
        <v>2420</v>
      </c>
    </row>
    <row r="25" spans="1:12" x14ac:dyDescent="0.25">
      <c r="A25" t="s">
        <v>207</v>
      </c>
      <c r="B25" t="s">
        <v>592</v>
      </c>
      <c r="C25" t="s">
        <v>758</v>
      </c>
      <c r="D25" t="s">
        <v>1031</v>
      </c>
      <c r="E25" s="6">
        <f t="shared" si="0"/>
        <v>274903747</v>
      </c>
      <c r="F25" s="9" t="str" cm="1">
        <f t="array" ref="F25">_xlfn.LET( _xlpm.original, E25,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027 490 3747</v>
      </c>
      <c r="H25" t="s">
        <v>1618</v>
      </c>
      <c r="J25" t="s">
        <v>1788</v>
      </c>
      <c r="K25" t="s">
        <v>2033</v>
      </c>
      <c r="L25" t="s">
        <v>2419</v>
      </c>
    </row>
    <row r="26" spans="1:12" x14ac:dyDescent="0.25">
      <c r="A26" t="s">
        <v>206</v>
      </c>
      <c r="B26" t="s">
        <v>591</v>
      </c>
      <c r="C26" t="s">
        <v>758</v>
      </c>
      <c r="D26" t="s">
        <v>1030</v>
      </c>
      <c r="E26" s="6">
        <f t="shared" si="0"/>
        <v>21556320</v>
      </c>
      <c r="F26" s="9" t="str" cm="1">
        <f t="array" ref="F26">_xlfn.LET( _xlpm.original, E26,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021 556 320</v>
      </c>
      <c r="H26" t="s">
        <v>1617</v>
      </c>
      <c r="J26" t="s">
        <v>1788</v>
      </c>
      <c r="K26" t="s">
        <v>2032</v>
      </c>
      <c r="L26" t="s">
        <v>2418</v>
      </c>
    </row>
    <row r="27" spans="1:12" x14ac:dyDescent="0.25">
      <c r="A27" t="s">
        <v>71</v>
      </c>
      <c r="B27" t="s">
        <v>590</v>
      </c>
      <c r="C27" t="s">
        <v>758</v>
      </c>
      <c r="D27" t="s">
        <v>1029</v>
      </c>
      <c r="E27" s="6">
        <f t="shared" si="0"/>
        <v>21629947</v>
      </c>
      <c r="F27" s="9" t="str" cm="1">
        <f t="array" ref="F27">_xlfn.LET( _xlpm.original, E27,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021 629 947</v>
      </c>
      <c r="H27" t="s">
        <v>1616</v>
      </c>
      <c r="J27" t="s">
        <v>762</v>
      </c>
      <c r="K27" t="s">
        <v>2032</v>
      </c>
      <c r="L27" t="s">
        <v>1918</v>
      </c>
    </row>
    <row r="28" spans="1:12" x14ac:dyDescent="0.25">
      <c r="B28" t="s">
        <v>589</v>
      </c>
      <c r="C28" t="s">
        <v>759</v>
      </c>
      <c r="D28" t="s">
        <v>1028</v>
      </c>
      <c r="E28" s="6">
        <f t="shared" si="0"/>
        <v>21510234</v>
      </c>
      <c r="F28" s="9" t="str" cm="1">
        <f t="array" ref="F28">_xlfn.LET( _xlpm.original, E28,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021 510 234</v>
      </c>
      <c r="G28" t="s">
        <v>1275</v>
      </c>
      <c r="H28" t="s">
        <v>1615</v>
      </c>
      <c r="J28" t="s">
        <v>769</v>
      </c>
      <c r="K28" t="s">
        <v>2031</v>
      </c>
      <c r="L28" t="s">
        <v>2417</v>
      </c>
    </row>
    <row r="29" spans="1:12" x14ac:dyDescent="0.25">
      <c r="B29" t="s">
        <v>612</v>
      </c>
      <c r="C29" t="s">
        <v>759</v>
      </c>
      <c r="D29" t="s">
        <v>1049</v>
      </c>
      <c r="E29" s="6">
        <f t="shared" si="0"/>
        <v>220184652</v>
      </c>
      <c r="F29" s="9" t="str" cm="1">
        <f t="array" ref="F29">_xlfn.LET( _xlpm.original, E29,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022 018 4652</v>
      </c>
      <c r="H29" t="s">
        <v>1639</v>
      </c>
      <c r="J29" t="s">
        <v>759</v>
      </c>
      <c r="K29" t="s">
        <v>2031</v>
      </c>
      <c r="L29" t="s">
        <v>2437</v>
      </c>
    </row>
    <row r="30" spans="1:12" x14ac:dyDescent="0.25">
      <c r="A30" t="s">
        <v>52</v>
      </c>
      <c r="B30" t="s">
        <v>613</v>
      </c>
      <c r="C30" t="s">
        <v>758</v>
      </c>
      <c r="E30" s="6">
        <f t="shared" si="0"/>
        <v>0</v>
      </c>
      <c r="F30" s="9" t="str" cm="1">
        <f t="array" ref="F30">_xlfn.LET( _xlpm.original, E30,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0" t="s">
        <v>1283</v>
      </c>
      <c r="H30" t="s">
        <v>1640</v>
      </c>
      <c r="J30" t="s">
        <v>1790</v>
      </c>
      <c r="K30" t="s">
        <v>2048</v>
      </c>
      <c r="L30" t="s">
        <v>2438</v>
      </c>
    </row>
    <row r="31" spans="1:12" x14ac:dyDescent="0.25">
      <c r="A31" t="s">
        <v>218</v>
      </c>
      <c r="B31" t="s">
        <v>614</v>
      </c>
      <c r="C31" t="s">
        <v>758</v>
      </c>
      <c r="D31" t="s">
        <v>1050</v>
      </c>
      <c r="E31" s="6">
        <f t="shared" si="0"/>
        <v>211164055</v>
      </c>
      <c r="F31" s="9" t="str" cm="1">
        <f t="array" ref="F31">_xlfn.LET( _xlpm.original, E31,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021 116 4055</v>
      </c>
      <c r="H31" t="s">
        <v>1641</v>
      </c>
      <c r="J31" t="s">
        <v>1786</v>
      </c>
      <c r="K31" t="s">
        <v>2049</v>
      </c>
      <c r="L31" t="s">
        <v>2439</v>
      </c>
    </row>
    <row r="32" spans="1:12" x14ac:dyDescent="0.25">
      <c r="B32" t="s">
        <v>629</v>
      </c>
      <c r="C32" t="s">
        <v>758</v>
      </c>
      <c r="D32" t="s">
        <v>1062</v>
      </c>
      <c r="E32" s="6">
        <f t="shared" si="0"/>
        <v>221831251</v>
      </c>
      <c r="F32" s="9" t="str" cm="1">
        <f t="array" ref="F32">_xlfn.LET( _xlpm.original, E32,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022 183 1251</v>
      </c>
      <c r="G32" t="s">
        <v>1286</v>
      </c>
      <c r="H32" t="s">
        <v>1655</v>
      </c>
      <c r="J32" t="s">
        <v>768</v>
      </c>
      <c r="K32" t="s">
        <v>629</v>
      </c>
    </row>
    <row r="33" spans="1:12" x14ac:dyDescent="0.25">
      <c r="A33" t="s">
        <v>233</v>
      </c>
      <c r="B33" t="s">
        <v>641</v>
      </c>
      <c r="C33" t="s">
        <v>758</v>
      </c>
      <c r="D33" t="s">
        <v>1072</v>
      </c>
      <c r="E33" s="6">
        <f t="shared" si="0"/>
        <v>278144033</v>
      </c>
      <c r="F33" s="9" t="str" cm="1">
        <f t="array" ref="F33">_xlfn.LET( _xlpm.original, E33,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027 814 4033</v>
      </c>
      <c r="H33" t="s">
        <v>1667</v>
      </c>
      <c r="J33" t="s">
        <v>1809</v>
      </c>
      <c r="K33" t="s">
        <v>629</v>
      </c>
      <c r="L33" t="s">
        <v>2462</v>
      </c>
    </row>
    <row r="34" spans="1:12" x14ac:dyDescent="0.25">
      <c r="A34" t="s">
        <v>2557</v>
      </c>
      <c r="B34" t="s">
        <v>640</v>
      </c>
      <c r="C34" t="s">
        <v>758</v>
      </c>
      <c r="D34" t="s">
        <v>1071</v>
      </c>
      <c r="E34" s="6">
        <f t="shared" si="0"/>
        <v>21660309</v>
      </c>
      <c r="F34" s="9" t="str" cm="1">
        <f t="array" ref="F34">_xlfn.LET( _xlpm.original, E34,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021 660 309</v>
      </c>
      <c r="H34" t="s">
        <v>1666</v>
      </c>
      <c r="J34" t="s">
        <v>1788</v>
      </c>
      <c r="K34" t="s">
        <v>2064</v>
      </c>
      <c r="L34" t="s">
        <v>2461</v>
      </c>
    </row>
    <row r="35" spans="1:12" x14ac:dyDescent="0.25">
      <c r="A35" t="s">
        <v>232</v>
      </c>
      <c r="B35" t="s">
        <v>639</v>
      </c>
      <c r="C35" t="s">
        <v>758</v>
      </c>
      <c r="D35" t="s">
        <v>1070</v>
      </c>
      <c r="E35" s="6">
        <f t="shared" si="0"/>
        <v>21413693</v>
      </c>
      <c r="F35" s="9" t="str" cm="1">
        <f t="array" ref="F35">_xlfn.LET( _xlpm.original, E35,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021 413 693</v>
      </c>
      <c r="H35" t="s">
        <v>1665</v>
      </c>
      <c r="J35" t="s">
        <v>769</v>
      </c>
      <c r="K35" t="s">
        <v>2063</v>
      </c>
      <c r="L35" t="s">
        <v>2460</v>
      </c>
    </row>
    <row r="36" spans="1:12" x14ac:dyDescent="0.25">
      <c r="A36" t="s">
        <v>2558</v>
      </c>
      <c r="B36" t="s">
        <v>638</v>
      </c>
      <c r="C36" t="s">
        <v>758</v>
      </c>
      <c r="D36" t="s">
        <v>1069</v>
      </c>
      <c r="E36" s="6">
        <f t="shared" si="0"/>
        <v>225902245</v>
      </c>
      <c r="F36" s="9" t="str" cm="1">
        <f t="array" ref="F36">_xlfn.LET( _xlpm.original, E36,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022 590 2245</v>
      </c>
      <c r="H36" t="s">
        <v>1664</v>
      </c>
      <c r="J36" t="s">
        <v>769</v>
      </c>
      <c r="K36" t="s">
        <v>2063</v>
      </c>
      <c r="L36" t="s">
        <v>2459</v>
      </c>
    </row>
    <row r="37" spans="1:12" x14ac:dyDescent="0.25">
      <c r="A37" t="s">
        <v>231</v>
      </c>
      <c r="B37" t="s">
        <v>637</v>
      </c>
      <c r="C37" t="s">
        <v>758</v>
      </c>
      <c r="D37" t="s">
        <v>1068</v>
      </c>
      <c r="E37" s="6">
        <f t="shared" si="0"/>
        <v>212430250</v>
      </c>
      <c r="F37" s="9" t="str" cm="1">
        <f t="array" ref="F37">_xlfn.LET( _xlpm.original, E37,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021 243 0250</v>
      </c>
      <c r="H37" t="s">
        <v>1663</v>
      </c>
      <c r="J37" t="s">
        <v>1788</v>
      </c>
      <c r="K37" t="s">
        <v>2062</v>
      </c>
      <c r="L37" t="s">
        <v>2458</v>
      </c>
    </row>
    <row r="38" spans="1:12" x14ac:dyDescent="0.25">
      <c r="A38" t="s">
        <v>141</v>
      </c>
      <c r="B38" t="s">
        <v>636</v>
      </c>
      <c r="C38" t="s">
        <v>762</v>
      </c>
      <c r="E38" s="6">
        <f t="shared" si="0"/>
        <v>0</v>
      </c>
      <c r="F38" s="9" t="str" cm="1">
        <f t="array" ref="F38">_xlfn.LET( _xlpm.original, E38,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8" t="s">
        <v>1289</v>
      </c>
      <c r="H38" t="s">
        <v>1662</v>
      </c>
      <c r="J38" t="s">
        <v>762</v>
      </c>
      <c r="K38" t="s">
        <v>2061</v>
      </c>
      <c r="L38" t="s">
        <v>2457</v>
      </c>
    </row>
    <row r="39" spans="1:12" x14ac:dyDescent="0.25">
      <c r="A39" t="s">
        <v>230</v>
      </c>
      <c r="B39" t="s">
        <v>635</v>
      </c>
      <c r="C39" t="s">
        <v>762</v>
      </c>
      <c r="D39" t="s">
        <v>1067</v>
      </c>
      <c r="E39" s="6">
        <f t="shared" si="0"/>
        <v>21638080</v>
      </c>
      <c r="F39" s="9" t="str" cm="1">
        <f t="array" ref="F39">_xlfn.LET( _xlpm.original, E39,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021 638 080</v>
      </c>
      <c r="G39" t="s">
        <v>1288</v>
      </c>
      <c r="H39" t="s">
        <v>1661</v>
      </c>
      <c r="J39" t="s">
        <v>762</v>
      </c>
      <c r="K39" t="s">
        <v>2060</v>
      </c>
      <c r="L39" t="s">
        <v>2156</v>
      </c>
    </row>
    <row r="40" spans="1:12" x14ac:dyDescent="0.25">
      <c r="A40" t="s">
        <v>229</v>
      </c>
      <c r="B40" t="s">
        <v>634</v>
      </c>
      <c r="C40" t="s">
        <v>758</v>
      </c>
      <c r="D40" t="s">
        <v>1066</v>
      </c>
      <c r="E40" s="6">
        <f t="shared" si="0"/>
        <v>272122213</v>
      </c>
      <c r="F40" s="9" t="str" cm="1">
        <f t="array" ref="F40">_xlfn.LET( _xlpm.original, E40,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027 212 2213</v>
      </c>
      <c r="H40" t="s">
        <v>1660</v>
      </c>
      <c r="J40" t="s">
        <v>1786</v>
      </c>
      <c r="K40" t="s">
        <v>2059</v>
      </c>
      <c r="L40" t="s">
        <v>2456</v>
      </c>
    </row>
    <row r="41" spans="1:12" x14ac:dyDescent="0.25">
      <c r="A41" t="s">
        <v>139</v>
      </c>
      <c r="B41" t="s">
        <v>633</v>
      </c>
      <c r="C41" t="s">
        <v>758</v>
      </c>
      <c r="D41" t="s">
        <v>1065</v>
      </c>
      <c r="E41" s="6">
        <f t="shared" si="0"/>
        <v>21911188</v>
      </c>
      <c r="F41" s="9" t="str" cm="1">
        <f t="array" ref="F41">_xlfn.LET( _xlpm.original, E41,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021 911 188</v>
      </c>
      <c r="H41" t="s">
        <v>1659</v>
      </c>
      <c r="J41" t="s">
        <v>762</v>
      </c>
      <c r="K41" t="s">
        <v>2058</v>
      </c>
      <c r="L41" t="s">
        <v>2455</v>
      </c>
    </row>
    <row r="42" spans="1:12" x14ac:dyDescent="0.25">
      <c r="A42" t="s">
        <v>228</v>
      </c>
      <c r="B42" t="s">
        <v>632</v>
      </c>
      <c r="C42" t="s">
        <v>758</v>
      </c>
      <c r="D42" t="s">
        <v>1064</v>
      </c>
      <c r="E42" s="6">
        <f t="shared" si="0"/>
        <v>21062202056</v>
      </c>
      <c r="F42" s="9" t="str" cm="1">
        <f t="array" ref="F42">_xlfn.LET( _xlpm.original, E42,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42" t="s">
        <v>1658</v>
      </c>
      <c r="J42" t="s">
        <v>1786</v>
      </c>
      <c r="K42" t="s">
        <v>2057</v>
      </c>
      <c r="L42" t="s">
        <v>2454</v>
      </c>
    </row>
    <row r="43" spans="1:12" x14ac:dyDescent="0.25">
      <c r="B43" t="s">
        <v>631</v>
      </c>
      <c r="C43" t="s">
        <v>758</v>
      </c>
      <c r="E43" s="6">
        <f t="shared" si="0"/>
        <v>0</v>
      </c>
      <c r="F43" s="9" t="str" cm="1">
        <f t="array" ref="F43">_xlfn.LET( _xlpm.original, E43,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43" t="s">
        <v>1657</v>
      </c>
      <c r="J43" t="s">
        <v>1787</v>
      </c>
      <c r="K43" t="s">
        <v>2056</v>
      </c>
      <c r="L43" t="s">
        <v>2453</v>
      </c>
    </row>
    <row r="44" spans="1:12" x14ac:dyDescent="0.25">
      <c r="A44" t="s">
        <v>227</v>
      </c>
      <c r="B44" t="s">
        <v>630</v>
      </c>
      <c r="C44" t="s">
        <v>762</v>
      </c>
      <c r="D44" t="s">
        <v>1063</v>
      </c>
      <c r="E44" s="6">
        <f t="shared" si="0"/>
        <v>95269390</v>
      </c>
      <c r="F44" s="9" t="str" cm="1">
        <f t="array" ref="F44">_xlfn.LET( _xlpm.original, E44,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095 269 390</v>
      </c>
      <c r="G44" t="s">
        <v>1287</v>
      </c>
      <c r="H44" t="s">
        <v>1656</v>
      </c>
      <c r="J44" t="s">
        <v>762</v>
      </c>
      <c r="K44" t="s">
        <v>2055</v>
      </c>
      <c r="L44" t="s">
        <v>2452</v>
      </c>
    </row>
    <row r="45" spans="1:12" x14ac:dyDescent="0.25">
      <c r="B45" t="s">
        <v>628</v>
      </c>
      <c r="C45" t="s">
        <v>758</v>
      </c>
      <c r="D45" t="s">
        <v>1061</v>
      </c>
      <c r="E45" s="6">
        <f t="shared" si="0"/>
        <v>274994612</v>
      </c>
      <c r="F45" s="9" t="str" cm="1">
        <f t="array" ref="F45">_xlfn.LET( _xlpm.original, E45,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027 499 4612</v>
      </c>
      <c r="H45" t="s">
        <v>1654</v>
      </c>
      <c r="J45" t="s">
        <v>758</v>
      </c>
      <c r="K45" t="s">
        <v>2054</v>
      </c>
      <c r="L45" t="s">
        <v>2451</v>
      </c>
    </row>
    <row r="46" spans="1:12" x14ac:dyDescent="0.25">
      <c r="A46" t="s">
        <v>2559</v>
      </c>
      <c r="B46" t="s">
        <v>615</v>
      </c>
      <c r="C46" t="s">
        <v>758</v>
      </c>
      <c r="D46" t="s">
        <v>1051</v>
      </c>
      <c r="E46" s="6">
        <f t="shared" si="0"/>
        <v>272287139</v>
      </c>
      <c r="F46" s="9" t="str" cm="1">
        <f t="array" ref="F46">_xlfn.LET( _xlpm.original, E46,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027 228 7139</v>
      </c>
      <c r="H46" t="s">
        <v>1642</v>
      </c>
      <c r="J46" t="s">
        <v>769</v>
      </c>
      <c r="K46" t="s">
        <v>2050</v>
      </c>
      <c r="L46" t="s">
        <v>2440</v>
      </c>
    </row>
    <row r="47" spans="1:12" x14ac:dyDescent="0.25">
      <c r="A47" t="s">
        <v>226</v>
      </c>
      <c r="B47" t="s">
        <v>627</v>
      </c>
      <c r="C47" t="s">
        <v>762</v>
      </c>
      <c r="D47" t="s">
        <v>1060</v>
      </c>
      <c r="E47" s="6">
        <f t="shared" si="0"/>
        <v>2102625848</v>
      </c>
      <c r="F47" s="9" t="str" cm="1">
        <f t="array" ref="F47">_xlfn.LET( _xlpm.original, E47,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210 262 5848</v>
      </c>
      <c r="H47" t="s">
        <v>1653</v>
      </c>
      <c r="J47" t="s">
        <v>1788</v>
      </c>
      <c r="K47" t="s">
        <v>2053</v>
      </c>
      <c r="L47" t="s">
        <v>2450</v>
      </c>
    </row>
    <row r="48" spans="1:12" x14ac:dyDescent="0.25">
      <c r="A48" t="s">
        <v>225</v>
      </c>
      <c r="B48" t="s">
        <v>626</v>
      </c>
      <c r="C48" t="s">
        <v>761</v>
      </c>
      <c r="E48" s="6">
        <f t="shared" si="0"/>
        <v>0</v>
      </c>
      <c r="F48" s="9" t="str" cm="1">
        <f t="array" ref="F48">_xlfn.LET( _xlpm.original, E48,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48" t="s">
        <v>1652</v>
      </c>
      <c r="J48" t="s">
        <v>761</v>
      </c>
      <c r="K48" t="s">
        <v>2053</v>
      </c>
      <c r="L48" t="s">
        <v>2449</v>
      </c>
    </row>
    <row r="49" spans="1:12" x14ac:dyDescent="0.25">
      <c r="A49" t="s">
        <v>224</v>
      </c>
      <c r="B49" t="s">
        <v>625</v>
      </c>
      <c r="C49" t="s">
        <v>758</v>
      </c>
      <c r="D49" t="s">
        <v>1059</v>
      </c>
      <c r="E49" s="6">
        <f t="shared" si="0"/>
        <v>273268912</v>
      </c>
      <c r="F49" s="9" t="str" cm="1">
        <f t="array" ref="F49">_xlfn.LET( _xlpm.original, E49,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027 326 8912</v>
      </c>
      <c r="H49" t="s">
        <v>1651</v>
      </c>
      <c r="J49" t="s">
        <v>1788</v>
      </c>
      <c r="K49" t="s">
        <v>2053</v>
      </c>
      <c r="L49" t="s">
        <v>2448</v>
      </c>
    </row>
    <row r="50" spans="1:12" x14ac:dyDescent="0.25">
      <c r="A50" t="s">
        <v>223</v>
      </c>
      <c r="B50" t="s">
        <v>624</v>
      </c>
      <c r="C50" t="s">
        <v>758</v>
      </c>
      <c r="D50" t="s">
        <v>1058</v>
      </c>
      <c r="E50" s="6">
        <f t="shared" si="0"/>
        <v>211236994</v>
      </c>
      <c r="F50" s="9" t="str" cm="1">
        <f t="array" ref="F50">_xlfn.LET( _xlpm.original, E50,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021 123 6994</v>
      </c>
      <c r="H50" t="s">
        <v>1650</v>
      </c>
      <c r="J50" t="s">
        <v>1791</v>
      </c>
      <c r="K50" t="s">
        <v>2053</v>
      </c>
      <c r="L50" t="s">
        <v>2415</v>
      </c>
    </row>
    <row r="51" spans="1:12" x14ac:dyDescent="0.25">
      <c r="A51" t="s">
        <v>187</v>
      </c>
      <c r="B51" t="s">
        <v>623</v>
      </c>
      <c r="C51" t="s">
        <v>758</v>
      </c>
      <c r="D51" t="s">
        <v>1057</v>
      </c>
      <c r="E51" s="6">
        <f t="shared" si="0"/>
        <v>21929652</v>
      </c>
      <c r="F51" s="9" t="str" cm="1">
        <f t="array" ref="F51">_xlfn.LET( _xlpm.original, E51,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021 929 652</v>
      </c>
      <c r="G51" t="s">
        <v>1264</v>
      </c>
      <c r="H51" t="s">
        <v>1649</v>
      </c>
      <c r="J51" t="s">
        <v>759</v>
      </c>
      <c r="K51" t="s">
        <v>2053</v>
      </c>
      <c r="L51" t="s">
        <v>2447</v>
      </c>
    </row>
    <row r="52" spans="1:12" x14ac:dyDescent="0.25">
      <c r="A52" t="s">
        <v>222</v>
      </c>
      <c r="B52" t="s">
        <v>622</v>
      </c>
      <c r="C52" t="s">
        <v>758</v>
      </c>
      <c r="D52" t="s">
        <v>1056</v>
      </c>
      <c r="E52" s="6">
        <f t="shared" si="0"/>
        <v>211344014</v>
      </c>
      <c r="F52" s="9" t="str" cm="1">
        <f t="array" ref="F52">_xlfn.LET( _xlpm.original, E52,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021 134 4014</v>
      </c>
      <c r="H52" t="s">
        <v>1648</v>
      </c>
      <c r="J52" t="s">
        <v>769</v>
      </c>
      <c r="K52" t="s">
        <v>2053</v>
      </c>
      <c r="L52" t="s">
        <v>2446</v>
      </c>
    </row>
    <row r="53" spans="1:12" x14ac:dyDescent="0.25">
      <c r="A53" t="s">
        <v>85</v>
      </c>
      <c r="B53" t="s">
        <v>621</v>
      </c>
      <c r="C53" t="s">
        <v>762</v>
      </c>
      <c r="E53" s="6">
        <f t="shared" si="0"/>
        <v>0</v>
      </c>
      <c r="F53" s="9" t="str" cm="1">
        <f t="array" ref="F53">_xlfn.LET( _xlpm.original, E53,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53" t="s">
        <v>1285</v>
      </c>
      <c r="H53" t="s">
        <v>1647</v>
      </c>
      <c r="J53" t="s">
        <v>762</v>
      </c>
      <c r="K53" t="s">
        <v>2053</v>
      </c>
      <c r="L53" t="s">
        <v>2445</v>
      </c>
    </row>
    <row r="54" spans="1:12" x14ac:dyDescent="0.25">
      <c r="A54" t="s">
        <v>221</v>
      </c>
      <c r="B54" t="s">
        <v>620</v>
      </c>
      <c r="C54" t="s">
        <v>758</v>
      </c>
      <c r="D54" t="s">
        <v>1055</v>
      </c>
      <c r="E54" s="6">
        <f t="shared" si="0"/>
        <v>225394725</v>
      </c>
      <c r="F54" s="9" t="str" cm="1">
        <f t="array" ref="F54">_xlfn.LET( _xlpm.original, E54,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022 539 4725</v>
      </c>
      <c r="J54" t="s">
        <v>758</v>
      </c>
      <c r="K54" t="s">
        <v>2053</v>
      </c>
      <c r="L54" t="s">
        <v>2444</v>
      </c>
    </row>
    <row r="55" spans="1:12" x14ac:dyDescent="0.25">
      <c r="A55" t="s">
        <v>225</v>
      </c>
      <c r="B55" t="s">
        <v>757</v>
      </c>
      <c r="C55" t="s">
        <v>761</v>
      </c>
      <c r="E55" s="6">
        <f t="shared" si="0"/>
        <v>0</v>
      </c>
      <c r="F55" s="9" t="str" cm="1">
        <f t="array" ref="F55">_xlfn.LET( _xlpm.original, E55,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J55" t="s">
        <v>761</v>
      </c>
      <c r="K55" t="s">
        <v>2053</v>
      </c>
      <c r="L55" t="s">
        <v>2449</v>
      </c>
    </row>
    <row r="56" spans="1:12" x14ac:dyDescent="0.25">
      <c r="A56" t="s">
        <v>220</v>
      </c>
      <c r="B56" t="s">
        <v>619</v>
      </c>
      <c r="C56" t="s">
        <v>758</v>
      </c>
      <c r="D56" t="s">
        <v>1054</v>
      </c>
      <c r="E56" s="6">
        <f t="shared" si="0"/>
        <v>642108336209</v>
      </c>
      <c r="F56" s="9" t="str" cm="1">
        <f t="array" ref="F56">_xlfn.LET( _xlpm.original, E56,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56" t="s">
        <v>1646</v>
      </c>
      <c r="J56" t="s">
        <v>769</v>
      </c>
      <c r="K56" t="s">
        <v>2053</v>
      </c>
      <c r="L56" t="s">
        <v>2443</v>
      </c>
    </row>
    <row r="57" spans="1:12" x14ac:dyDescent="0.25">
      <c r="A57" t="s">
        <v>2560</v>
      </c>
      <c r="B57" t="s">
        <v>618</v>
      </c>
      <c r="C57" t="s">
        <v>758</v>
      </c>
      <c r="D57" t="s">
        <v>1053</v>
      </c>
      <c r="E57" s="6">
        <f t="shared" si="0"/>
        <v>211270476</v>
      </c>
      <c r="F57" s="9" t="str" cm="1">
        <f t="array" ref="F57">_xlfn.LET( _xlpm.original, E57,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021 127 0476</v>
      </c>
      <c r="H57" t="s">
        <v>1645</v>
      </c>
      <c r="J57" t="s">
        <v>769</v>
      </c>
      <c r="K57" t="s">
        <v>2052</v>
      </c>
      <c r="L57" t="s">
        <v>2442</v>
      </c>
    </row>
    <row r="58" spans="1:12" x14ac:dyDescent="0.25">
      <c r="A58" t="s">
        <v>219</v>
      </c>
      <c r="B58" t="s">
        <v>617</v>
      </c>
      <c r="C58" t="s">
        <v>758</v>
      </c>
      <c r="D58" t="s">
        <v>1052</v>
      </c>
      <c r="E58" s="6">
        <f t="shared" si="0"/>
        <v>21828989</v>
      </c>
      <c r="F58" s="9" t="str" cm="1">
        <f t="array" ref="F58">_xlfn.LET( _xlpm.original, E58,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021 828 989</v>
      </c>
      <c r="G58" t="s">
        <v>1284</v>
      </c>
      <c r="H58" t="s">
        <v>1644</v>
      </c>
      <c r="J58" t="s">
        <v>759</v>
      </c>
      <c r="K58" t="s">
        <v>2051</v>
      </c>
      <c r="L58" t="s">
        <v>2441</v>
      </c>
    </row>
    <row r="59" spans="1:12" x14ac:dyDescent="0.25">
      <c r="A59" t="s">
        <v>18</v>
      </c>
      <c r="B59" t="s">
        <v>616</v>
      </c>
      <c r="C59" t="s">
        <v>758</v>
      </c>
      <c r="D59">
        <v>273657359</v>
      </c>
      <c r="E59" s="6">
        <f t="shared" si="0"/>
        <v>273657359</v>
      </c>
      <c r="F59" s="9" t="str" cm="1">
        <f t="array" ref="F59">_xlfn.LET( _xlpm.original, E59,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027 365 7359</v>
      </c>
      <c r="H59" t="s">
        <v>1643</v>
      </c>
      <c r="J59" t="s">
        <v>1790</v>
      </c>
      <c r="K59" t="s">
        <v>2030</v>
      </c>
      <c r="L59" t="s">
        <v>2168</v>
      </c>
    </row>
    <row r="60" spans="1:12" x14ac:dyDescent="0.25">
      <c r="A60" t="s">
        <v>2561</v>
      </c>
      <c r="B60" t="s">
        <v>588</v>
      </c>
      <c r="C60" t="s">
        <v>758</v>
      </c>
      <c r="D60" t="s">
        <v>1027</v>
      </c>
      <c r="E60" s="6">
        <f t="shared" si="0"/>
        <v>211618188</v>
      </c>
      <c r="F60" s="9" t="str" cm="1">
        <f t="array" ref="F60">_xlfn.LET( _xlpm.original, E60,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021 161 8188</v>
      </c>
      <c r="G60" t="s">
        <v>1274</v>
      </c>
      <c r="H60" t="s">
        <v>1614</v>
      </c>
      <c r="J60" t="s">
        <v>769</v>
      </c>
      <c r="K60" t="s">
        <v>2030</v>
      </c>
      <c r="L60" t="s">
        <v>2416</v>
      </c>
    </row>
    <row r="61" spans="1:12" x14ac:dyDescent="0.25">
      <c r="A61" t="s">
        <v>205</v>
      </c>
      <c r="B61" t="s">
        <v>587</v>
      </c>
      <c r="C61" t="s">
        <v>758</v>
      </c>
      <c r="D61" t="s">
        <v>1026</v>
      </c>
      <c r="E61" s="6">
        <f t="shared" si="0"/>
        <v>276983073</v>
      </c>
      <c r="F61" s="9" t="str" cm="1">
        <f t="array" ref="F61">_xlfn.LET( _xlpm.original, E61,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027 698 3073</v>
      </c>
      <c r="H61" t="s">
        <v>1613</v>
      </c>
      <c r="J61" t="s">
        <v>1788</v>
      </c>
      <c r="K61" t="s">
        <v>2029</v>
      </c>
      <c r="L61" t="s">
        <v>2415</v>
      </c>
    </row>
    <row r="62" spans="1:12" x14ac:dyDescent="0.25">
      <c r="A62" t="s">
        <v>8</v>
      </c>
      <c r="B62" t="s">
        <v>586</v>
      </c>
      <c r="C62" t="s">
        <v>759</v>
      </c>
      <c r="E62" s="6">
        <f t="shared" si="0"/>
        <v>0</v>
      </c>
      <c r="F62" s="9" t="str" cm="1">
        <f t="array" ref="F62">_xlfn.LET( _xlpm.original, E62,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62" t="s">
        <v>1612</v>
      </c>
      <c r="J62" t="s">
        <v>759</v>
      </c>
      <c r="K62" t="s">
        <v>2028</v>
      </c>
      <c r="L62" t="s">
        <v>2414</v>
      </c>
    </row>
    <row r="63" spans="1:12" x14ac:dyDescent="0.25">
      <c r="A63" t="s">
        <v>204</v>
      </c>
      <c r="B63" t="s">
        <v>204</v>
      </c>
      <c r="C63" t="s">
        <v>758</v>
      </c>
      <c r="D63" t="s">
        <v>1025</v>
      </c>
      <c r="E63" s="6">
        <f t="shared" si="0"/>
        <v>212656409</v>
      </c>
      <c r="F63" s="9" t="str" cm="1">
        <f t="array" ref="F63">_xlfn.LET( _xlpm.original, E63,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021 265 6409</v>
      </c>
      <c r="G63" t="s">
        <v>1273</v>
      </c>
      <c r="H63" t="s">
        <v>1611</v>
      </c>
      <c r="J63" t="s">
        <v>759</v>
      </c>
      <c r="K63" t="s">
        <v>2005</v>
      </c>
      <c r="L63" t="s">
        <v>2413</v>
      </c>
    </row>
    <row r="64" spans="1:12" x14ac:dyDescent="0.25">
      <c r="A64" t="s">
        <v>44</v>
      </c>
      <c r="B64" t="s">
        <v>555</v>
      </c>
      <c r="C64" t="s">
        <v>758</v>
      </c>
      <c r="D64" t="s">
        <v>998</v>
      </c>
      <c r="E64" s="6">
        <f t="shared" si="0"/>
        <v>274466596</v>
      </c>
      <c r="F64" s="9" t="str" cm="1">
        <f t="array" ref="F64">_xlfn.LET( _xlpm.original, E64,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027 446 6596</v>
      </c>
      <c r="G64" t="s">
        <v>1266</v>
      </c>
      <c r="H64" t="s">
        <v>1582</v>
      </c>
      <c r="J64" t="s">
        <v>769</v>
      </c>
      <c r="K64" t="s">
        <v>2005</v>
      </c>
      <c r="L64" t="s">
        <v>2385</v>
      </c>
    </row>
    <row r="65" spans="1:12" x14ac:dyDescent="0.25">
      <c r="A65" t="s">
        <v>188</v>
      </c>
      <c r="B65" t="s">
        <v>554</v>
      </c>
      <c r="C65" t="s">
        <v>758</v>
      </c>
      <c r="D65" t="s">
        <v>997</v>
      </c>
      <c r="E65" s="6">
        <f t="shared" si="0"/>
        <v>21845294</v>
      </c>
      <c r="F65" s="9" t="str" cm="1">
        <f t="array" ref="F65">_xlfn.LET( _xlpm.original, E65,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021 845 294</v>
      </c>
      <c r="G65" t="s">
        <v>1265</v>
      </c>
      <c r="H65" t="s">
        <v>1581</v>
      </c>
      <c r="J65" t="s">
        <v>766</v>
      </c>
      <c r="K65" t="s">
        <v>2005</v>
      </c>
      <c r="L65" t="s">
        <v>2384</v>
      </c>
    </row>
    <row r="66" spans="1:12" x14ac:dyDescent="0.25">
      <c r="A66" t="s">
        <v>187</v>
      </c>
      <c r="B66" t="s">
        <v>553</v>
      </c>
      <c r="C66" t="s">
        <v>758</v>
      </c>
      <c r="D66" t="s">
        <v>996</v>
      </c>
      <c r="E66" s="6">
        <f t="shared" si="0"/>
        <v>272696658</v>
      </c>
      <c r="F66" s="9" t="str" cm="1">
        <f t="array" ref="F66">_xlfn.LET( _xlpm.original, E66,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027 269 6658</v>
      </c>
      <c r="G66" t="s">
        <v>1264</v>
      </c>
      <c r="H66" t="s">
        <v>1580</v>
      </c>
      <c r="J66" t="s">
        <v>1794</v>
      </c>
      <c r="K66" t="s">
        <v>2004</v>
      </c>
      <c r="L66" t="s">
        <v>2383</v>
      </c>
    </row>
    <row r="67" spans="1:12" x14ac:dyDescent="0.25">
      <c r="A67" t="s">
        <v>186</v>
      </c>
      <c r="B67" t="s">
        <v>552</v>
      </c>
      <c r="C67" t="s">
        <v>765</v>
      </c>
      <c r="D67" t="s">
        <v>995</v>
      </c>
      <c r="E67" s="6">
        <f t="shared" si="0"/>
        <v>21905280</v>
      </c>
      <c r="F67" s="9" t="str" cm="1">
        <f t="array" ref="F67">_xlfn.LET( _xlpm.original, E67,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021 905 280</v>
      </c>
      <c r="H67" t="s">
        <v>1579</v>
      </c>
      <c r="J67" t="s">
        <v>759</v>
      </c>
      <c r="K67" t="s">
        <v>2003</v>
      </c>
      <c r="L67" t="s">
        <v>2377</v>
      </c>
    </row>
    <row r="68" spans="1:12" x14ac:dyDescent="0.25">
      <c r="B68" t="s">
        <v>551</v>
      </c>
      <c r="C68" t="s">
        <v>758</v>
      </c>
      <c r="D68" t="s">
        <v>994</v>
      </c>
      <c r="E68" s="6">
        <f t="shared" ref="E68:E131" si="1">_xlfn.NUMBERVALUE(D68)</f>
        <v>211836488</v>
      </c>
      <c r="F68" s="9" t="str" cm="1">
        <f t="array" ref="F68">_xlfn.LET( _xlpm.original, E68,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021 183 6488</v>
      </c>
      <c r="H68" t="s">
        <v>1578</v>
      </c>
      <c r="J68" t="s">
        <v>758</v>
      </c>
      <c r="K68" t="s">
        <v>2002</v>
      </c>
      <c r="L68" t="s">
        <v>2382</v>
      </c>
    </row>
    <row r="69" spans="1:12" x14ac:dyDescent="0.25">
      <c r="A69" t="s">
        <v>185</v>
      </c>
      <c r="B69" t="s">
        <v>550</v>
      </c>
      <c r="C69" t="s">
        <v>758</v>
      </c>
      <c r="D69" t="s">
        <v>993</v>
      </c>
      <c r="E69" s="6">
        <f t="shared" si="1"/>
        <v>212745600</v>
      </c>
      <c r="F69" s="9" t="str" cm="1">
        <f t="array" ref="F69">_xlfn.LET( _xlpm.original, E69,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021 274 5600</v>
      </c>
      <c r="G69" t="s">
        <v>1263</v>
      </c>
      <c r="H69" t="s">
        <v>1577</v>
      </c>
      <c r="J69" t="s">
        <v>769</v>
      </c>
      <c r="K69" t="s">
        <v>2001</v>
      </c>
      <c r="L69" t="s">
        <v>2381</v>
      </c>
    </row>
    <row r="70" spans="1:12" x14ac:dyDescent="0.25">
      <c r="A70" t="s">
        <v>184</v>
      </c>
      <c r="B70" t="s">
        <v>549</v>
      </c>
      <c r="C70" t="s">
        <v>758</v>
      </c>
      <c r="D70" t="s">
        <v>992</v>
      </c>
      <c r="E70" s="6">
        <f t="shared" si="1"/>
        <v>2102909994</v>
      </c>
      <c r="F70" s="9" t="str" cm="1">
        <f t="array" ref="F70">_xlfn.LET( _xlpm.original, E70,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210 290 9994</v>
      </c>
      <c r="H70" t="s">
        <v>1576</v>
      </c>
      <c r="J70" t="s">
        <v>1791</v>
      </c>
      <c r="K70" t="s">
        <v>2000</v>
      </c>
      <c r="L70" t="s">
        <v>2380</v>
      </c>
    </row>
    <row r="71" spans="1:12" x14ac:dyDescent="0.25">
      <c r="A71" t="s">
        <v>183</v>
      </c>
      <c r="B71" t="s">
        <v>548</v>
      </c>
      <c r="C71" t="s">
        <v>758</v>
      </c>
      <c r="D71" t="s">
        <v>991</v>
      </c>
      <c r="E71" s="6">
        <f t="shared" si="1"/>
        <v>272865311</v>
      </c>
      <c r="F71" s="9" t="str" cm="1">
        <f t="array" ref="F71">_xlfn.LET( _xlpm.original, E71,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027 286 5311</v>
      </c>
      <c r="G71" t="s">
        <v>1262</v>
      </c>
      <c r="H71" t="s">
        <v>1575</v>
      </c>
      <c r="J71" t="s">
        <v>769</v>
      </c>
      <c r="K71" t="s">
        <v>1999</v>
      </c>
      <c r="L71" t="s">
        <v>2379</v>
      </c>
    </row>
    <row r="72" spans="1:12" x14ac:dyDescent="0.25">
      <c r="A72" t="s">
        <v>182</v>
      </c>
      <c r="B72" t="s">
        <v>547</v>
      </c>
      <c r="C72" t="s">
        <v>758</v>
      </c>
      <c r="D72" t="s">
        <v>990</v>
      </c>
      <c r="E72" s="6">
        <f t="shared" si="1"/>
        <v>224651122</v>
      </c>
      <c r="F72" s="9" t="str" cm="1">
        <f t="array" ref="F72">_xlfn.LET( _xlpm.original, E72,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022 465 1122</v>
      </c>
      <c r="G72" t="s">
        <v>1261</v>
      </c>
      <c r="H72" t="s">
        <v>1574</v>
      </c>
      <c r="J72" t="s">
        <v>762</v>
      </c>
      <c r="K72" t="s">
        <v>1998</v>
      </c>
      <c r="L72" t="s">
        <v>2378</v>
      </c>
    </row>
    <row r="73" spans="1:12" x14ac:dyDescent="0.25">
      <c r="A73" t="s">
        <v>181</v>
      </c>
      <c r="B73" t="s">
        <v>546</v>
      </c>
      <c r="C73" t="s">
        <v>767</v>
      </c>
      <c r="D73" t="s">
        <v>989</v>
      </c>
      <c r="E73" s="6">
        <f t="shared" si="1"/>
        <v>272793260</v>
      </c>
      <c r="F73" s="9" t="str" cm="1">
        <f t="array" ref="F73">_xlfn.LET( _xlpm.original, E73,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027 279 3260</v>
      </c>
      <c r="G73" t="s">
        <v>1260</v>
      </c>
      <c r="H73" t="s">
        <v>1573</v>
      </c>
      <c r="J73" t="s">
        <v>1807</v>
      </c>
      <c r="K73" t="s">
        <v>1997</v>
      </c>
      <c r="L73" t="s">
        <v>2150</v>
      </c>
    </row>
    <row r="74" spans="1:12" x14ac:dyDescent="0.25">
      <c r="A74" t="s">
        <v>180</v>
      </c>
      <c r="B74" t="s">
        <v>545</v>
      </c>
      <c r="C74" t="s">
        <v>758</v>
      </c>
      <c r="D74" t="s">
        <v>988</v>
      </c>
      <c r="E74" s="6">
        <f t="shared" si="1"/>
        <v>21905280</v>
      </c>
      <c r="F74" s="9" t="str" cm="1">
        <f t="array" ref="F74">_xlfn.LET( _xlpm.original, E74,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021 905 280</v>
      </c>
      <c r="G74" t="s">
        <v>1259</v>
      </c>
      <c r="H74" t="s">
        <v>1572</v>
      </c>
      <c r="J74" t="s">
        <v>1788</v>
      </c>
      <c r="K74" t="s">
        <v>1996</v>
      </c>
      <c r="L74" t="s">
        <v>2377</v>
      </c>
    </row>
    <row r="75" spans="1:12" x14ac:dyDescent="0.25">
      <c r="A75" t="s">
        <v>179</v>
      </c>
      <c r="B75" t="s">
        <v>544</v>
      </c>
      <c r="C75" t="s">
        <v>758</v>
      </c>
      <c r="D75" t="s">
        <v>987</v>
      </c>
      <c r="E75" s="6">
        <f t="shared" si="1"/>
        <v>21878318</v>
      </c>
      <c r="F75" s="9" t="str" cm="1">
        <f t="array" ref="F75">_xlfn.LET( _xlpm.original, E75,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021 878 318</v>
      </c>
      <c r="H75" t="s">
        <v>1571</v>
      </c>
      <c r="J75" t="s">
        <v>769</v>
      </c>
      <c r="K75" t="s">
        <v>1995</v>
      </c>
      <c r="L75" t="s">
        <v>2376</v>
      </c>
    </row>
    <row r="76" spans="1:12" x14ac:dyDescent="0.25">
      <c r="A76" t="s">
        <v>178</v>
      </c>
      <c r="B76" t="s">
        <v>543</v>
      </c>
      <c r="C76" t="s">
        <v>758</v>
      </c>
      <c r="D76" t="s">
        <v>986</v>
      </c>
      <c r="E76" s="6">
        <f t="shared" si="1"/>
        <v>21330288</v>
      </c>
      <c r="F76" s="9" t="str" cm="1">
        <f t="array" ref="F76">_xlfn.LET( _xlpm.original, E76,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021 330 288</v>
      </c>
      <c r="H76" t="s">
        <v>1570</v>
      </c>
      <c r="J76" t="s">
        <v>769</v>
      </c>
      <c r="K76" t="s">
        <v>1995</v>
      </c>
      <c r="L76" t="s">
        <v>2166</v>
      </c>
    </row>
    <row r="77" spans="1:12" x14ac:dyDescent="0.25">
      <c r="A77" t="s">
        <v>106</v>
      </c>
      <c r="B77" t="s">
        <v>542</v>
      </c>
      <c r="C77" t="s">
        <v>759</v>
      </c>
      <c r="D77" t="s">
        <v>985</v>
      </c>
      <c r="E77" s="6">
        <f t="shared" si="1"/>
        <v>21955034</v>
      </c>
      <c r="F77" s="9" t="str" cm="1">
        <f t="array" ref="F77">_xlfn.LET( _xlpm.original, E77,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021 955 034</v>
      </c>
      <c r="G77" t="s">
        <v>1258</v>
      </c>
      <c r="H77" t="s">
        <v>1569</v>
      </c>
      <c r="J77" t="s">
        <v>759</v>
      </c>
      <c r="K77" t="s">
        <v>1994</v>
      </c>
      <c r="L77" t="s">
        <v>2375</v>
      </c>
    </row>
    <row r="78" spans="1:12" x14ac:dyDescent="0.25">
      <c r="A78" t="s">
        <v>177</v>
      </c>
      <c r="B78" t="s">
        <v>541</v>
      </c>
      <c r="C78" t="s">
        <v>758</v>
      </c>
      <c r="D78" t="s">
        <v>984</v>
      </c>
      <c r="E78" s="6">
        <f t="shared" si="1"/>
        <v>2102756381</v>
      </c>
      <c r="F78" s="9" t="str" cm="1">
        <f t="array" ref="F78">_xlfn.LET( _xlpm.original, E78,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210 275 6381</v>
      </c>
      <c r="H78" t="s">
        <v>1568</v>
      </c>
      <c r="J78" t="s">
        <v>1806</v>
      </c>
      <c r="K78" t="s">
        <v>1993</v>
      </c>
      <c r="L78" t="s">
        <v>2374</v>
      </c>
    </row>
    <row r="79" spans="1:12" x14ac:dyDescent="0.25">
      <c r="A79" t="s">
        <v>114</v>
      </c>
      <c r="B79" t="s">
        <v>540</v>
      </c>
      <c r="C79" t="s">
        <v>758</v>
      </c>
      <c r="E79" s="6">
        <f t="shared" si="1"/>
        <v>0</v>
      </c>
      <c r="F79" s="9" t="str" cm="1">
        <f t="array" ref="F79">_xlfn.LET( _xlpm.original, E79,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79" t="s">
        <v>1257</v>
      </c>
      <c r="H79" t="s">
        <v>1567</v>
      </c>
      <c r="J79" t="s">
        <v>1801</v>
      </c>
      <c r="K79" t="s">
        <v>1992</v>
      </c>
      <c r="L79" t="s">
        <v>2373</v>
      </c>
    </row>
    <row r="80" spans="1:12" x14ac:dyDescent="0.25">
      <c r="A80" t="s">
        <v>176</v>
      </c>
      <c r="B80" t="s">
        <v>176</v>
      </c>
      <c r="C80" t="s">
        <v>758</v>
      </c>
      <c r="D80" t="s">
        <v>983</v>
      </c>
      <c r="E80" s="6">
        <f t="shared" si="1"/>
        <v>210388671</v>
      </c>
      <c r="F80" s="9" t="str" cm="1">
        <f t="array" ref="F80">_xlfn.LET( _xlpm.original, E80,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021 038 8671</v>
      </c>
      <c r="H80" t="s">
        <v>1566</v>
      </c>
      <c r="J80" t="s">
        <v>1787</v>
      </c>
      <c r="K80" t="s">
        <v>1991</v>
      </c>
      <c r="L80" t="s">
        <v>2372</v>
      </c>
    </row>
    <row r="81" spans="1:12" x14ac:dyDescent="0.25">
      <c r="A81" t="s">
        <v>175</v>
      </c>
      <c r="B81" t="s">
        <v>539</v>
      </c>
      <c r="C81" t="s">
        <v>758</v>
      </c>
      <c r="D81" t="s">
        <v>982</v>
      </c>
      <c r="E81" s="6">
        <f t="shared" si="1"/>
        <v>226423027</v>
      </c>
      <c r="F81" s="9" t="str" cm="1">
        <f t="array" ref="F81">_xlfn.LET( _xlpm.original, E81,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022 642 3027</v>
      </c>
      <c r="H81" t="s">
        <v>1565</v>
      </c>
      <c r="J81" t="s">
        <v>1786</v>
      </c>
      <c r="K81" t="s">
        <v>1990</v>
      </c>
      <c r="L81" t="s">
        <v>2371</v>
      </c>
    </row>
    <row r="82" spans="1:12" x14ac:dyDescent="0.25">
      <c r="A82" t="s">
        <v>174</v>
      </c>
      <c r="B82" t="s">
        <v>538</v>
      </c>
      <c r="C82" t="s">
        <v>758</v>
      </c>
      <c r="D82" t="s">
        <v>981</v>
      </c>
      <c r="E82" s="6">
        <f t="shared" si="1"/>
        <v>274663433</v>
      </c>
      <c r="F82" s="9" t="str" cm="1">
        <f t="array" ref="F82">_xlfn.LET( _xlpm.original, E82,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027 466 3433</v>
      </c>
      <c r="H82" t="s">
        <v>1564</v>
      </c>
      <c r="J82" t="s">
        <v>769</v>
      </c>
      <c r="K82" t="s">
        <v>1989</v>
      </c>
      <c r="L82" t="s">
        <v>2370</v>
      </c>
    </row>
    <row r="83" spans="1:12" x14ac:dyDescent="0.25">
      <c r="B83" t="s">
        <v>537</v>
      </c>
      <c r="C83" t="s">
        <v>759</v>
      </c>
      <c r="D83" t="s">
        <v>980</v>
      </c>
      <c r="E83" s="6">
        <f t="shared" si="1"/>
        <v>273936099</v>
      </c>
      <c r="F83" s="9" t="str" cm="1">
        <f t="array" ref="F83">_xlfn.LET( _xlpm.original, E83,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027 393 6099</v>
      </c>
      <c r="G83" t="s">
        <v>1256</v>
      </c>
      <c r="H83" t="s">
        <v>1563</v>
      </c>
      <c r="J83" t="s">
        <v>1805</v>
      </c>
      <c r="K83" t="s">
        <v>1988</v>
      </c>
      <c r="L83" t="s">
        <v>2369</v>
      </c>
    </row>
    <row r="84" spans="1:12" x14ac:dyDescent="0.25">
      <c r="A84" t="s">
        <v>173</v>
      </c>
      <c r="B84" t="s">
        <v>173</v>
      </c>
      <c r="C84" t="s">
        <v>758</v>
      </c>
      <c r="D84" t="s">
        <v>979</v>
      </c>
      <c r="E84" s="6">
        <f t="shared" si="1"/>
        <v>21711967</v>
      </c>
      <c r="F84" s="9" t="str" cm="1">
        <f t="array" ref="F84">_xlfn.LET( _xlpm.original, E84,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021 711 967</v>
      </c>
      <c r="H84" t="s">
        <v>1562</v>
      </c>
      <c r="J84" t="s">
        <v>1786</v>
      </c>
      <c r="K84" t="s">
        <v>1987</v>
      </c>
      <c r="L84" t="s">
        <v>2368</v>
      </c>
    </row>
    <row r="85" spans="1:12" x14ac:dyDescent="0.25">
      <c r="A85" t="s">
        <v>172</v>
      </c>
      <c r="B85" t="s">
        <v>536</v>
      </c>
      <c r="C85" t="s">
        <v>759</v>
      </c>
      <c r="D85" t="s">
        <v>978</v>
      </c>
      <c r="E85" s="6">
        <f t="shared" si="1"/>
        <v>21435357</v>
      </c>
      <c r="F85" s="9" t="str" cm="1">
        <f t="array" ref="F85">_xlfn.LET( _xlpm.original, E85,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021 435 357</v>
      </c>
      <c r="G85" t="s">
        <v>1255</v>
      </c>
      <c r="H85" t="s">
        <v>1561</v>
      </c>
      <c r="J85" t="s">
        <v>759</v>
      </c>
      <c r="K85" t="s">
        <v>1986</v>
      </c>
      <c r="L85" t="s">
        <v>2367</v>
      </c>
    </row>
    <row r="86" spans="1:12" x14ac:dyDescent="0.25">
      <c r="B86" t="s">
        <v>535</v>
      </c>
      <c r="C86" t="s">
        <v>758</v>
      </c>
      <c r="D86" t="s">
        <v>977</v>
      </c>
      <c r="E86" s="6">
        <f t="shared" si="1"/>
        <v>212256989</v>
      </c>
      <c r="F86" s="9" t="str" cm="1">
        <f t="array" ref="F86">_xlfn.LET( _xlpm.original, E86,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021 225 6989</v>
      </c>
      <c r="G86" t="s">
        <v>1254</v>
      </c>
      <c r="H86" t="s">
        <v>1560</v>
      </c>
      <c r="J86" t="s">
        <v>1804</v>
      </c>
      <c r="K86" t="s">
        <v>1985</v>
      </c>
      <c r="L86" t="s">
        <v>2366</v>
      </c>
    </row>
    <row r="87" spans="1:12" x14ac:dyDescent="0.25">
      <c r="A87" t="s">
        <v>50</v>
      </c>
      <c r="B87" t="s">
        <v>534</v>
      </c>
      <c r="C87" t="s">
        <v>760</v>
      </c>
      <c r="D87" t="s">
        <v>976</v>
      </c>
      <c r="E87" s="6">
        <f t="shared" si="1"/>
        <v>2722465095</v>
      </c>
      <c r="F87" s="9" t="str" cm="1">
        <f t="array" ref="F87">_xlfn.LET( _xlpm.original, E87,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272 246 5095</v>
      </c>
      <c r="H87" t="s">
        <v>1559</v>
      </c>
      <c r="J87" t="s">
        <v>1791</v>
      </c>
      <c r="K87" t="s">
        <v>1985</v>
      </c>
      <c r="L87" t="s">
        <v>2365</v>
      </c>
    </row>
    <row r="88" spans="1:12" x14ac:dyDescent="0.25">
      <c r="A88" t="s">
        <v>171</v>
      </c>
      <c r="B88" t="s">
        <v>533</v>
      </c>
      <c r="C88" t="s">
        <v>766</v>
      </c>
      <c r="D88" t="s">
        <v>975</v>
      </c>
      <c r="E88" s="6">
        <f t="shared" si="1"/>
        <v>211144161</v>
      </c>
      <c r="F88" s="9" t="str" cm="1">
        <f t="array" ref="F88">_xlfn.LET( _xlpm.original, E88,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021 114 4161</v>
      </c>
      <c r="H88" t="s">
        <v>1558</v>
      </c>
      <c r="J88" t="s">
        <v>766</v>
      </c>
      <c r="K88" t="s">
        <v>1985</v>
      </c>
      <c r="L88" t="s">
        <v>2364</v>
      </c>
    </row>
    <row r="89" spans="1:12" x14ac:dyDescent="0.25">
      <c r="A89" t="s">
        <v>170</v>
      </c>
      <c r="B89" t="s">
        <v>532</v>
      </c>
      <c r="C89" t="s">
        <v>758</v>
      </c>
      <c r="D89" t="s">
        <v>974</v>
      </c>
      <c r="E89" s="6">
        <f t="shared" si="1"/>
        <v>275350622</v>
      </c>
      <c r="F89" s="9" t="str" cm="1">
        <f t="array" ref="F89">_xlfn.LET( _xlpm.original, E89,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027 535 0622</v>
      </c>
      <c r="G89" t="s">
        <v>1253</v>
      </c>
      <c r="H89" t="s">
        <v>1557</v>
      </c>
      <c r="J89" t="s">
        <v>762</v>
      </c>
      <c r="K89" t="s">
        <v>1984</v>
      </c>
      <c r="L89" t="s">
        <v>2363</v>
      </c>
    </row>
    <row r="90" spans="1:12" x14ac:dyDescent="0.25">
      <c r="A90" t="s">
        <v>169</v>
      </c>
      <c r="B90" t="s">
        <v>531</v>
      </c>
      <c r="C90" t="s">
        <v>759</v>
      </c>
      <c r="D90" t="s">
        <v>973</v>
      </c>
      <c r="E90" s="6">
        <f t="shared" si="1"/>
        <v>275817337</v>
      </c>
      <c r="F90" s="9" t="str" cm="1">
        <f t="array" ref="F90">_xlfn.LET( _xlpm.original, E90,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027 581 7337</v>
      </c>
      <c r="H90" t="s">
        <v>1556</v>
      </c>
      <c r="J90" t="s">
        <v>759</v>
      </c>
      <c r="K90" t="s">
        <v>1983</v>
      </c>
      <c r="L90" t="s">
        <v>2362</v>
      </c>
    </row>
    <row r="91" spans="1:12" x14ac:dyDescent="0.25">
      <c r="A91" t="s">
        <v>25</v>
      </c>
      <c r="B91" t="s">
        <v>556</v>
      </c>
      <c r="C91" t="s">
        <v>758</v>
      </c>
      <c r="E91" s="6">
        <f t="shared" si="1"/>
        <v>0</v>
      </c>
      <c r="F91" s="9" t="str" cm="1">
        <f t="array" ref="F91">_xlfn.LET( _xlpm.original, E91,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91" t="s">
        <v>1224</v>
      </c>
      <c r="H91" t="s">
        <v>1583</v>
      </c>
      <c r="J91" t="s">
        <v>762</v>
      </c>
      <c r="K91" t="s">
        <v>1983</v>
      </c>
      <c r="L91" t="s">
        <v>2386</v>
      </c>
    </row>
    <row r="92" spans="1:12" x14ac:dyDescent="0.25">
      <c r="A92" t="s">
        <v>168</v>
      </c>
      <c r="B92" t="s">
        <v>530</v>
      </c>
      <c r="C92" t="s">
        <v>758</v>
      </c>
      <c r="D92" t="s">
        <v>972</v>
      </c>
      <c r="E92" s="6">
        <f t="shared" si="1"/>
        <v>211143293</v>
      </c>
      <c r="F92" s="9" t="str" cm="1">
        <f t="array" ref="F92">_xlfn.LET( _xlpm.original, E92,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021 114 3293</v>
      </c>
      <c r="H92" t="s">
        <v>1555</v>
      </c>
      <c r="J92" t="s">
        <v>766</v>
      </c>
      <c r="K92" t="s">
        <v>1982</v>
      </c>
      <c r="L92" t="s">
        <v>2361</v>
      </c>
    </row>
    <row r="93" spans="1:12" x14ac:dyDescent="0.25">
      <c r="A93" t="s">
        <v>91</v>
      </c>
      <c r="B93" t="s">
        <v>557</v>
      </c>
      <c r="C93" t="s">
        <v>758</v>
      </c>
      <c r="D93" t="s">
        <v>999</v>
      </c>
      <c r="E93" s="6">
        <f t="shared" si="1"/>
        <v>211630197</v>
      </c>
      <c r="F93" s="9" t="str" cm="1">
        <f t="array" ref="F93">_xlfn.LET( _xlpm.original, E93,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021 163 0197</v>
      </c>
      <c r="H93" t="s">
        <v>1584</v>
      </c>
      <c r="J93" t="s">
        <v>1790</v>
      </c>
      <c r="K93" t="s">
        <v>2006</v>
      </c>
      <c r="L93" t="s">
        <v>2387</v>
      </c>
    </row>
    <row r="94" spans="1:12" x14ac:dyDescent="0.25">
      <c r="A94" t="s">
        <v>63</v>
      </c>
      <c r="B94" t="s">
        <v>559</v>
      </c>
      <c r="C94" t="s">
        <v>758</v>
      </c>
      <c r="E94" s="6">
        <f t="shared" si="1"/>
        <v>0</v>
      </c>
      <c r="F94" s="9" t="str" cm="1">
        <f t="array" ref="F94">_xlfn.LET( _xlpm.original, E94,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94" t="s">
        <v>1586</v>
      </c>
      <c r="J94" t="s">
        <v>762</v>
      </c>
      <c r="K94" t="s">
        <v>2008</v>
      </c>
      <c r="L94" t="s">
        <v>2389</v>
      </c>
    </row>
    <row r="95" spans="1:12" x14ac:dyDescent="0.25">
      <c r="A95" t="s">
        <v>203</v>
      </c>
      <c r="B95" t="s">
        <v>203</v>
      </c>
      <c r="C95" t="s">
        <v>758</v>
      </c>
      <c r="D95" t="s">
        <v>1024</v>
      </c>
      <c r="E95" s="6">
        <f t="shared" si="1"/>
        <v>212150520</v>
      </c>
      <c r="F95" s="9" t="str" cm="1">
        <f t="array" ref="F95">_xlfn.LET( _xlpm.original, E95,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021 215 0520</v>
      </c>
      <c r="H95" t="s">
        <v>1610</v>
      </c>
      <c r="J95" t="s">
        <v>1786</v>
      </c>
      <c r="K95" t="s">
        <v>2027</v>
      </c>
      <c r="L95" t="s">
        <v>2412</v>
      </c>
    </row>
    <row r="96" spans="1:12" x14ac:dyDescent="0.25">
      <c r="A96" t="s">
        <v>202</v>
      </c>
      <c r="B96" t="s">
        <v>585</v>
      </c>
      <c r="C96" t="s">
        <v>758</v>
      </c>
      <c r="D96" t="s">
        <v>1023</v>
      </c>
      <c r="E96" s="6">
        <f t="shared" si="1"/>
        <v>274900635</v>
      </c>
      <c r="F96" s="9" t="str" cm="1">
        <f t="array" ref="F96">_xlfn.LET( _xlpm.original, E96,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027 490 0635</v>
      </c>
      <c r="H96" t="s">
        <v>1609</v>
      </c>
      <c r="J96" t="s">
        <v>769</v>
      </c>
      <c r="K96" t="s">
        <v>2026</v>
      </c>
      <c r="L96" t="s">
        <v>2411</v>
      </c>
    </row>
    <row r="97" spans="1:12" x14ac:dyDescent="0.25">
      <c r="A97" t="s">
        <v>168</v>
      </c>
      <c r="B97" t="s">
        <v>584</v>
      </c>
      <c r="C97" t="s">
        <v>766</v>
      </c>
      <c r="E97" s="6">
        <f t="shared" si="1"/>
        <v>0</v>
      </c>
      <c r="F97" s="9" t="str" cm="1">
        <f t="array" ref="F97">_xlfn.LET( _xlpm.original, E97,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97" t="s">
        <v>1555</v>
      </c>
      <c r="J97" t="s">
        <v>766</v>
      </c>
      <c r="K97" t="s">
        <v>2025</v>
      </c>
      <c r="L97" t="s">
        <v>2410</v>
      </c>
    </row>
    <row r="98" spans="1:12" x14ac:dyDescent="0.25">
      <c r="A98" t="s">
        <v>8</v>
      </c>
      <c r="B98" t="s">
        <v>583</v>
      </c>
      <c r="C98" t="s">
        <v>759</v>
      </c>
      <c r="E98" s="6">
        <f t="shared" si="1"/>
        <v>0</v>
      </c>
      <c r="F98" s="9" t="str" cm="1">
        <f t="array" ref="F98">_xlfn.LET( _xlpm.original, E98,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98" t="s">
        <v>1191</v>
      </c>
      <c r="H98" t="s">
        <v>1608</v>
      </c>
      <c r="J98" t="s">
        <v>759</v>
      </c>
      <c r="K98" t="s">
        <v>2025</v>
      </c>
      <c r="L98" t="s">
        <v>2409</v>
      </c>
    </row>
    <row r="99" spans="1:12" x14ac:dyDescent="0.25">
      <c r="A99" t="s">
        <v>201</v>
      </c>
      <c r="B99" t="s">
        <v>582</v>
      </c>
      <c r="C99" t="s">
        <v>758</v>
      </c>
      <c r="D99" t="s">
        <v>1022</v>
      </c>
      <c r="E99" s="6">
        <f t="shared" si="1"/>
        <v>2102607657</v>
      </c>
      <c r="F99" s="9" t="str" cm="1">
        <f t="array" ref="F99">_xlfn.LET( _xlpm.original, E99,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210 260 7657</v>
      </c>
      <c r="G99" t="s">
        <v>1204</v>
      </c>
      <c r="H99" t="s">
        <v>1607</v>
      </c>
      <c r="J99" t="s">
        <v>762</v>
      </c>
      <c r="K99" t="s">
        <v>2024</v>
      </c>
      <c r="L99" t="s">
        <v>2171</v>
      </c>
    </row>
    <row r="100" spans="1:12" x14ac:dyDescent="0.25">
      <c r="A100" t="s">
        <v>200</v>
      </c>
      <c r="B100" t="s">
        <v>581</v>
      </c>
      <c r="C100" t="s">
        <v>769</v>
      </c>
      <c r="D100" t="s">
        <v>1021</v>
      </c>
      <c r="E100" s="6">
        <f t="shared" si="1"/>
        <v>212882322</v>
      </c>
      <c r="F100" s="9" t="str" cm="1">
        <f t="array" ref="F100">_xlfn.LET( _xlpm.original, E100,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021 288 2322</v>
      </c>
      <c r="H100" t="s">
        <v>1606</v>
      </c>
      <c r="J100" t="s">
        <v>769</v>
      </c>
      <c r="K100" t="s">
        <v>2023</v>
      </c>
      <c r="L100" t="s">
        <v>2360</v>
      </c>
    </row>
    <row r="101" spans="1:12" x14ac:dyDescent="0.25">
      <c r="A101" t="s">
        <v>18</v>
      </c>
      <c r="B101" t="s">
        <v>580</v>
      </c>
      <c r="C101" t="s">
        <v>758</v>
      </c>
      <c r="D101" t="s">
        <v>1020</v>
      </c>
      <c r="E101" s="6">
        <f t="shared" si="1"/>
        <v>21634611</v>
      </c>
      <c r="F101" s="9" t="str" cm="1">
        <f t="array" ref="F101">_xlfn.LET( _xlpm.original, E101,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021 634 611</v>
      </c>
      <c r="H101" t="s">
        <v>1605</v>
      </c>
      <c r="J101" t="s">
        <v>1808</v>
      </c>
      <c r="K101" t="s">
        <v>2023</v>
      </c>
      <c r="L101" t="s">
        <v>2408</v>
      </c>
    </row>
    <row r="102" spans="1:12" x14ac:dyDescent="0.25">
      <c r="A102" t="s">
        <v>191</v>
      </c>
      <c r="B102" t="s">
        <v>579</v>
      </c>
      <c r="C102" t="s">
        <v>758</v>
      </c>
      <c r="D102" t="s">
        <v>1019</v>
      </c>
      <c r="E102" s="6">
        <f t="shared" si="1"/>
        <v>226738115</v>
      </c>
      <c r="F102" s="9" t="str" cm="1">
        <f t="array" ref="F102">_xlfn.LET( _xlpm.original, E102,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022 673 8115</v>
      </c>
      <c r="H102" t="s">
        <v>1604</v>
      </c>
      <c r="J102" t="s">
        <v>769</v>
      </c>
      <c r="K102" t="s">
        <v>2023</v>
      </c>
      <c r="L102" t="s">
        <v>2407</v>
      </c>
    </row>
    <row r="103" spans="1:12" x14ac:dyDescent="0.25">
      <c r="B103" t="s">
        <v>578</v>
      </c>
      <c r="C103" t="s">
        <v>768</v>
      </c>
      <c r="D103" t="s">
        <v>1018</v>
      </c>
      <c r="E103" s="6">
        <f t="shared" si="1"/>
        <v>274985564</v>
      </c>
      <c r="F103" s="9" t="str" cm="1">
        <f t="array" ref="F103">_xlfn.LET( _xlpm.original, E103,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027 498 5564</v>
      </c>
      <c r="H103" t="s">
        <v>1603</v>
      </c>
      <c r="J103" t="s">
        <v>768</v>
      </c>
      <c r="K103" t="s">
        <v>2023</v>
      </c>
      <c r="L103" t="s">
        <v>2406</v>
      </c>
    </row>
    <row r="104" spans="1:12" x14ac:dyDescent="0.25">
      <c r="A104" t="s">
        <v>199</v>
      </c>
      <c r="B104" t="s">
        <v>577</v>
      </c>
      <c r="C104" t="s">
        <v>760</v>
      </c>
      <c r="D104" t="s">
        <v>1017</v>
      </c>
      <c r="E104" s="6">
        <f t="shared" si="1"/>
        <v>212787767</v>
      </c>
      <c r="F104" s="9" t="str" cm="1">
        <f t="array" ref="F104">_xlfn.LET( _xlpm.original, E104,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021 278 7767</v>
      </c>
      <c r="H104" t="s">
        <v>1602</v>
      </c>
      <c r="J104" t="s">
        <v>759</v>
      </c>
      <c r="K104" t="s">
        <v>2022</v>
      </c>
      <c r="L104" t="s">
        <v>2187</v>
      </c>
    </row>
    <row r="105" spans="1:12" x14ac:dyDescent="0.25">
      <c r="A105" t="s">
        <v>198</v>
      </c>
      <c r="B105" t="s">
        <v>576</v>
      </c>
      <c r="C105" t="s">
        <v>758</v>
      </c>
      <c r="D105" t="s">
        <v>1016</v>
      </c>
      <c r="E105" s="6">
        <f t="shared" si="1"/>
        <v>21917688</v>
      </c>
      <c r="F105" s="9" t="str" cm="1">
        <f t="array" ref="F105">_xlfn.LET( _xlpm.original, E105,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021 917 688</v>
      </c>
      <c r="G105" t="s">
        <v>1272</v>
      </c>
      <c r="H105" t="s">
        <v>1601</v>
      </c>
      <c r="J105" t="s">
        <v>759</v>
      </c>
      <c r="K105" t="s">
        <v>2021</v>
      </c>
      <c r="L105" t="s">
        <v>2405</v>
      </c>
    </row>
    <row r="106" spans="1:12" x14ac:dyDescent="0.25">
      <c r="A106" t="s">
        <v>197</v>
      </c>
      <c r="B106" t="s">
        <v>575</v>
      </c>
      <c r="C106" t="s">
        <v>758</v>
      </c>
      <c r="D106" t="s">
        <v>1015</v>
      </c>
      <c r="E106" s="6">
        <f t="shared" si="1"/>
        <v>274539449</v>
      </c>
      <c r="F106" s="9" t="str" cm="1">
        <f t="array" ref="F106">_xlfn.LET( _xlpm.original, E106,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027 453 9449</v>
      </c>
      <c r="H106" t="s">
        <v>1600</v>
      </c>
      <c r="J106" t="s">
        <v>1785</v>
      </c>
      <c r="K106" t="s">
        <v>2020</v>
      </c>
      <c r="L106" t="s">
        <v>2404</v>
      </c>
    </row>
    <row r="107" spans="1:12" x14ac:dyDescent="0.25">
      <c r="A107" t="s">
        <v>196</v>
      </c>
      <c r="B107" t="s">
        <v>574</v>
      </c>
      <c r="C107" t="s">
        <v>758</v>
      </c>
      <c r="D107" t="s">
        <v>1014</v>
      </c>
      <c r="E107" s="6">
        <f t="shared" si="1"/>
        <v>21415248</v>
      </c>
      <c r="F107" s="9" t="str" cm="1">
        <f t="array" ref="F107">_xlfn.LET( _xlpm.original, E107,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021 415 248</v>
      </c>
      <c r="H107" t="s">
        <v>1599</v>
      </c>
      <c r="J107" t="s">
        <v>769</v>
      </c>
      <c r="K107" t="s">
        <v>2019</v>
      </c>
      <c r="L107" t="s">
        <v>2403</v>
      </c>
    </row>
    <row r="108" spans="1:12" x14ac:dyDescent="0.25">
      <c r="A108" t="s">
        <v>101</v>
      </c>
      <c r="B108" t="s">
        <v>573</v>
      </c>
      <c r="C108" t="s">
        <v>760</v>
      </c>
      <c r="D108" t="s">
        <v>878</v>
      </c>
      <c r="E108" s="6">
        <f t="shared" si="1"/>
        <v>61415397966</v>
      </c>
      <c r="F108" s="9" t="str" cm="1">
        <f t="array" ref="F108">_xlfn.LET( _xlpm.original, E108,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108" t="s">
        <v>1223</v>
      </c>
      <c r="H108" t="s">
        <v>1444</v>
      </c>
      <c r="J108" t="s">
        <v>1786</v>
      </c>
      <c r="K108" t="s">
        <v>2018</v>
      </c>
      <c r="L108" t="s">
        <v>2402</v>
      </c>
    </row>
    <row r="109" spans="1:12" x14ac:dyDescent="0.25">
      <c r="A109" t="s">
        <v>195</v>
      </c>
      <c r="B109" t="s">
        <v>572</v>
      </c>
      <c r="C109" t="s">
        <v>758</v>
      </c>
      <c r="D109" t="s">
        <v>1013</v>
      </c>
      <c r="E109" s="6">
        <f t="shared" si="1"/>
        <v>21876853</v>
      </c>
      <c r="F109" s="9" t="str" cm="1">
        <f t="array" ref="F109">_xlfn.LET( _xlpm.original, E109,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021 876 853</v>
      </c>
      <c r="H109" t="s">
        <v>1598</v>
      </c>
      <c r="J109" t="s">
        <v>769</v>
      </c>
      <c r="K109" t="s">
        <v>2018</v>
      </c>
      <c r="L109" t="s">
        <v>2401</v>
      </c>
    </row>
    <row r="110" spans="1:12" x14ac:dyDescent="0.25">
      <c r="A110" t="s">
        <v>194</v>
      </c>
      <c r="B110" t="s">
        <v>571</v>
      </c>
      <c r="C110" t="s">
        <v>758</v>
      </c>
      <c r="D110" t="s">
        <v>1012</v>
      </c>
      <c r="E110" s="6">
        <f t="shared" si="1"/>
        <v>274433594</v>
      </c>
      <c r="F110" s="9" t="str" cm="1">
        <f t="array" ref="F110">_xlfn.LET( _xlpm.original, E110,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027 443 3594</v>
      </c>
      <c r="G110" t="s">
        <v>1271</v>
      </c>
      <c r="H110" t="s">
        <v>1597</v>
      </c>
      <c r="J110" t="s">
        <v>769</v>
      </c>
      <c r="K110" t="s">
        <v>2017</v>
      </c>
      <c r="L110" t="s">
        <v>2400</v>
      </c>
    </row>
    <row r="111" spans="1:12" x14ac:dyDescent="0.25">
      <c r="A111" t="s">
        <v>144</v>
      </c>
      <c r="B111" t="s">
        <v>570</v>
      </c>
      <c r="C111" t="s">
        <v>758</v>
      </c>
      <c r="D111" t="s">
        <v>1011</v>
      </c>
      <c r="E111" s="6">
        <f t="shared" si="1"/>
        <v>277878800</v>
      </c>
      <c r="F111" s="9" t="str" cm="1">
        <f t="array" ref="F111">_xlfn.LET( _xlpm.original, E111,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027 787 8800</v>
      </c>
      <c r="G111" t="s">
        <v>1246</v>
      </c>
      <c r="H111" t="s">
        <v>1596</v>
      </c>
      <c r="J111" t="s">
        <v>1789</v>
      </c>
      <c r="K111" t="s">
        <v>2017</v>
      </c>
      <c r="L111" t="s">
        <v>2399</v>
      </c>
    </row>
    <row r="112" spans="1:12" x14ac:dyDescent="0.25">
      <c r="A112" t="s">
        <v>193</v>
      </c>
      <c r="B112" t="s">
        <v>569</v>
      </c>
      <c r="C112" t="s">
        <v>758</v>
      </c>
      <c r="D112" t="s">
        <v>1010</v>
      </c>
      <c r="E112" s="6">
        <f t="shared" si="1"/>
        <v>226301549</v>
      </c>
      <c r="F112" s="9" t="str" cm="1">
        <f t="array" ref="F112">_xlfn.LET( _xlpm.original, E112,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022 630 1549</v>
      </c>
      <c r="H112" t="s">
        <v>1595</v>
      </c>
      <c r="J112" t="s">
        <v>769</v>
      </c>
      <c r="K112" t="s">
        <v>2017</v>
      </c>
      <c r="L112" t="s">
        <v>2398</v>
      </c>
    </row>
    <row r="113" spans="1:12" x14ac:dyDescent="0.25">
      <c r="A113" t="s">
        <v>121</v>
      </c>
      <c r="B113" t="s">
        <v>568</v>
      </c>
      <c r="C113" t="s">
        <v>762</v>
      </c>
      <c r="D113" t="s">
        <v>1009</v>
      </c>
      <c r="E113" s="6">
        <f t="shared" si="1"/>
        <v>2108394076</v>
      </c>
      <c r="F113" s="9" t="str" cm="1">
        <f t="array" ref="F113">_xlfn.LET( _xlpm.original, E113,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210 839 4076</v>
      </c>
      <c r="G113" t="s">
        <v>1270</v>
      </c>
      <c r="H113" t="s">
        <v>1594</v>
      </c>
      <c r="J113" t="s">
        <v>1790</v>
      </c>
      <c r="K113" t="s">
        <v>2016</v>
      </c>
      <c r="L113" t="s">
        <v>2397</v>
      </c>
    </row>
    <row r="114" spans="1:12" x14ac:dyDescent="0.25">
      <c r="A114" t="s">
        <v>192</v>
      </c>
      <c r="B114" t="s">
        <v>567</v>
      </c>
      <c r="C114" t="s">
        <v>759</v>
      </c>
      <c r="D114" t="s">
        <v>1008</v>
      </c>
      <c r="E114" s="6">
        <f t="shared" si="1"/>
        <v>272444547</v>
      </c>
      <c r="F114" s="9" t="str" cm="1">
        <f t="array" ref="F114">_xlfn.LET( _xlpm.original, E114,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027 244 4547</v>
      </c>
      <c r="H114" t="s">
        <v>1593</v>
      </c>
      <c r="J114" t="s">
        <v>759</v>
      </c>
      <c r="K114" t="s">
        <v>2015</v>
      </c>
      <c r="L114" t="s">
        <v>2396</v>
      </c>
    </row>
    <row r="115" spans="1:12" x14ac:dyDescent="0.25">
      <c r="A115" t="s">
        <v>75</v>
      </c>
      <c r="B115" t="s">
        <v>566</v>
      </c>
      <c r="C115" t="s">
        <v>758</v>
      </c>
      <c r="D115" t="s">
        <v>1007</v>
      </c>
      <c r="E115" s="6">
        <f t="shared" si="1"/>
        <v>272716244</v>
      </c>
      <c r="F115" s="9" t="str" cm="1">
        <f t="array" ref="F115">_xlfn.LET( _xlpm.original, E115,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027 271 6244</v>
      </c>
      <c r="G115" t="s">
        <v>1216</v>
      </c>
      <c r="H115" t="s">
        <v>1592</v>
      </c>
      <c r="J115" t="s">
        <v>1791</v>
      </c>
      <c r="K115" t="s">
        <v>2014</v>
      </c>
      <c r="L115" t="s">
        <v>2395</v>
      </c>
    </row>
    <row r="116" spans="1:12" x14ac:dyDescent="0.25">
      <c r="A116" t="s">
        <v>55</v>
      </c>
      <c r="B116" t="s">
        <v>565</v>
      </c>
      <c r="C116" t="s">
        <v>758</v>
      </c>
      <c r="D116" t="s">
        <v>1006</v>
      </c>
      <c r="E116" s="6">
        <f t="shared" si="1"/>
        <v>2102730326</v>
      </c>
      <c r="F116" s="9" t="str" cm="1">
        <f t="array" ref="F116">_xlfn.LET( _xlpm.original, E116,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210 273 0326</v>
      </c>
      <c r="H116" t="s">
        <v>1591</v>
      </c>
      <c r="J116" t="s">
        <v>1791</v>
      </c>
      <c r="K116" t="s">
        <v>2013</v>
      </c>
      <c r="L116" t="s">
        <v>2394</v>
      </c>
    </row>
    <row r="117" spans="1:12" x14ac:dyDescent="0.25">
      <c r="A117" t="s">
        <v>191</v>
      </c>
      <c r="B117" t="s">
        <v>564</v>
      </c>
      <c r="C117" t="s">
        <v>758</v>
      </c>
      <c r="D117" t="s">
        <v>1005</v>
      </c>
      <c r="E117" s="6">
        <f t="shared" si="1"/>
        <v>211375444</v>
      </c>
      <c r="F117" s="9" t="str" cm="1">
        <f t="array" ref="F117">_xlfn.LET( _xlpm.original, E117,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021 137 5444</v>
      </c>
      <c r="G117" t="s">
        <v>1269</v>
      </c>
      <c r="H117" t="s">
        <v>1590</v>
      </c>
      <c r="J117" t="s">
        <v>769</v>
      </c>
      <c r="K117" t="s">
        <v>2012</v>
      </c>
      <c r="L117" t="s">
        <v>2393</v>
      </c>
    </row>
    <row r="118" spans="1:12" x14ac:dyDescent="0.25">
      <c r="A118" t="s">
        <v>41</v>
      </c>
      <c r="B118" t="s">
        <v>563</v>
      </c>
      <c r="C118" t="s">
        <v>758</v>
      </c>
      <c r="D118" t="s">
        <v>1004</v>
      </c>
      <c r="E118" s="6">
        <f t="shared" si="1"/>
        <v>210546131</v>
      </c>
      <c r="F118" s="9" t="str" cm="1">
        <f t="array" ref="F118">_xlfn.LET( _xlpm.original, E118,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021 054 6131</v>
      </c>
      <c r="G118" t="s">
        <v>1268</v>
      </c>
      <c r="H118" t="s">
        <v>1367</v>
      </c>
      <c r="J118" t="s">
        <v>1786</v>
      </c>
      <c r="K118" t="s">
        <v>2011</v>
      </c>
      <c r="L118" t="s">
        <v>2392</v>
      </c>
    </row>
    <row r="119" spans="1:12" x14ac:dyDescent="0.25">
      <c r="A119" t="s">
        <v>190</v>
      </c>
      <c r="B119" t="s">
        <v>562</v>
      </c>
      <c r="C119" t="s">
        <v>758</v>
      </c>
      <c r="D119" t="s">
        <v>1003</v>
      </c>
      <c r="E119" s="6">
        <f t="shared" si="1"/>
        <v>21508686</v>
      </c>
      <c r="F119" s="9" t="str" cm="1">
        <f t="array" ref="F119">_xlfn.LET( _xlpm.original, E119,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021 508 686</v>
      </c>
      <c r="H119" t="s">
        <v>1589</v>
      </c>
      <c r="J119" t="s">
        <v>1786</v>
      </c>
      <c r="K119" t="s">
        <v>190</v>
      </c>
      <c r="L119" t="s">
        <v>2281</v>
      </c>
    </row>
    <row r="120" spans="1:12" x14ac:dyDescent="0.25">
      <c r="A120" t="s">
        <v>25</v>
      </c>
      <c r="B120" t="s">
        <v>561</v>
      </c>
      <c r="C120" t="s">
        <v>758</v>
      </c>
      <c r="D120" t="s">
        <v>1002</v>
      </c>
      <c r="E120" s="6">
        <f t="shared" si="1"/>
        <v>274748649</v>
      </c>
      <c r="F120" s="9" t="str" cm="1">
        <f t="array" ref="F120">_xlfn.LET( _xlpm.original, E120,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027 474 8649</v>
      </c>
      <c r="H120" t="s">
        <v>1588</v>
      </c>
      <c r="J120" t="s">
        <v>1792</v>
      </c>
      <c r="K120" t="s">
        <v>2010</v>
      </c>
      <c r="L120" t="s">
        <v>2391</v>
      </c>
    </row>
    <row r="121" spans="1:12" x14ac:dyDescent="0.25">
      <c r="A121" t="s">
        <v>189</v>
      </c>
      <c r="B121" t="s">
        <v>560</v>
      </c>
      <c r="C121" t="s">
        <v>758</v>
      </c>
      <c r="D121" t="s">
        <v>1001</v>
      </c>
      <c r="E121" s="6">
        <f t="shared" si="1"/>
        <v>21849208</v>
      </c>
      <c r="F121" s="9" t="str" cm="1">
        <f t="array" ref="F121">_xlfn.LET( _xlpm.original, E121,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021 849 208</v>
      </c>
      <c r="G121" t="s">
        <v>1267</v>
      </c>
      <c r="H121" t="s">
        <v>1587</v>
      </c>
      <c r="J121" t="s">
        <v>1786</v>
      </c>
      <c r="K121" t="s">
        <v>2009</v>
      </c>
      <c r="L121" t="s">
        <v>2390</v>
      </c>
    </row>
    <row r="122" spans="1:12" x14ac:dyDescent="0.25">
      <c r="A122" t="s">
        <v>52</v>
      </c>
      <c r="B122" t="s">
        <v>643</v>
      </c>
      <c r="C122" t="s">
        <v>758</v>
      </c>
      <c r="D122" t="s">
        <v>1074</v>
      </c>
      <c r="E122" s="6">
        <f t="shared" si="1"/>
        <v>94152768</v>
      </c>
      <c r="F122" s="9" t="str" cm="1">
        <f t="array" ref="F122">_xlfn.LET( _xlpm.original, E122,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094 152 768</v>
      </c>
      <c r="G122" t="s">
        <v>1291</v>
      </c>
      <c r="H122" t="s">
        <v>1669</v>
      </c>
      <c r="J122" t="s">
        <v>762</v>
      </c>
      <c r="K122" t="s">
        <v>2066</v>
      </c>
      <c r="L122" t="s">
        <v>2464</v>
      </c>
    </row>
    <row r="123" spans="1:12" x14ac:dyDescent="0.25">
      <c r="A123" t="s">
        <v>72</v>
      </c>
      <c r="B123" t="s">
        <v>558</v>
      </c>
      <c r="C123" t="s">
        <v>758</v>
      </c>
      <c r="D123" t="s">
        <v>1000</v>
      </c>
      <c r="E123" s="6">
        <f t="shared" si="1"/>
        <v>212687004</v>
      </c>
      <c r="F123" s="9" t="str" cm="1">
        <f t="array" ref="F123">_xlfn.LET( _xlpm.original, E123,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021 268 7004</v>
      </c>
      <c r="H123" t="s">
        <v>1585</v>
      </c>
      <c r="J123" t="s">
        <v>1786</v>
      </c>
      <c r="K123" t="s">
        <v>2007</v>
      </c>
      <c r="L123" t="s">
        <v>2388</v>
      </c>
    </row>
    <row r="124" spans="1:12" x14ac:dyDescent="0.25">
      <c r="B124" t="s">
        <v>644</v>
      </c>
      <c r="C124" t="s">
        <v>758</v>
      </c>
      <c r="D124" t="s">
        <v>1075</v>
      </c>
      <c r="E124" s="6">
        <f t="shared" si="1"/>
        <v>226390357</v>
      </c>
      <c r="F124" s="9" t="str" cm="1">
        <f t="array" ref="F124">_xlfn.LET( _xlpm.original, E124,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022 639 0357</v>
      </c>
      <c r="H124" t="s">
        <v>1670</v>
      </c>
      <c r="J124" t="s">
        <v>762</v>
      </c>
      <c r="K124" t="s">
        <v>2067</v>
      </c>
      <c r="L124" t="s">
        <v>2465</v>
      </c>
    </row>
    <row r="125" spans="1:12" x14ac:dyDescent="0.25">
      <c r="A125" t="s">
        <v>52</v>
      </c>
      <c r="B125" t="s">
        <v>645</v>
      </c>
      <c r="C125" t="s">
        <v>758</v>
      </c>
      <c r="E125" s="6">
        <f t="shared" si="1"/>
        <v>0</v>
      </c>
      <c r="F125" s="9" t="str" cm="1">
        <f t="array" ref="F125">_xlfn.LET( _xlpm.original, E125,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125" t="s">
        <v>1292</v>
      </c>
      <c r="H125" t="s">
        <v>1671</v>
      </c>
      <c r="J125" t="s">
        <v>762</v>
      </c>
      <c r="K125" t="s">
        <v>2068</v>
      </c>
      <c r="L125" t="s">
        <v>2466</v>
      </c>
    </row>
    <row r="126" spans="1:12" x14ac:dyDescent="0.25">
      <c r="A126" t="s">
        <v>290</v>
      </c>
      <c r="B126" t="s">
        <v>726</v>
      </c>
      <c r="C126" t="s">
        <v>762</v>
      </c>
      <c r="E126" s="6">
        <f t="shared" si="1"/>
        <v>0</v>
      </c>
      <c r="F126" s="9" t="str" cm="1">
        <f t="array" ref="F126">_xlfn.LET( _xlpm.original, E126,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126" t="s">
        <v>1318</v>
      </c>
      <c r="H126" t="s">
        <v>1753</v>
      </c>
      <c r="J126" t="s">
        <v>762</v>
      </c>
      <c r="K126" t="s">
        <v>2126</v>
      </c>
      <c r="L126" t="s">
        <v>2529</v>
      </c>
    </row>
    <row r="127" spans="1:12" x14ac:dyDescent="0.25">
      <c r="A127" t="s">
        <v>289</v>
      </c>
      <c r="B127" t="s">
        <v>725</v>
      </c>
      <c r="C127" t="s">
        <v>758</v>
      </c>
      <c r="D127" t="s">
        <v>1148</v>
      </c>
      <c r="E127" s="6">
        <f t="shared" si="1"/>
        <v>212227718</v>
      </c>
      <c r="F127" s="9" t="str" cm="1">
        <f t="array" ref="F127">_xlfn.LET( _xlpm.original, E127,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021 222 7718</v>
      </c>
      <c r="G127" t="s">
        <v>1317</v>
      </c>
      <c r="H127" t="s">
        <v>1752</v>
      </c>
      <c r="J127" t="s">
        <v>762</v>
      </c>
      <c r="K127" t="s">
        <v>2126</v>
      </c>
      <c r="L127" t="s">
        <v>2341</v>
      </c>
    </row>
    <row r="128" spans="1:12" x14ac:dyDescent="0.25">
      <c r="A128" t="s">
        <v>288</v>
      </c>
      <c r="B128" t="s">
        <v>724</v>
      </c>
      <c r="C128" t="s">
        <v>758</v>
      </c>
      <c r="E128" s="6">
        <f t="shared" si="1"/>
        <v>0</v>
      </c>
      <c r="F128" s="9" t="str" cm="1">
        <f t="array" ref="F128">_xlfn.LET( _xlpm.original, E128,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128" t="s">
        <v>1316</v>
      </c>
      <c r="H128" t="s">
        <v>1751</v>
      </c>
      <c r="J128" t="s">
        <v>762</v>
      </c>
      <c r="K128" t="s">
        <v>2125</v>
      </c>
      <c r="L128" t="s">
        <v>2528</v>
      </c>
    </row>
    <row r="129" spans="1:12" x14ac:dyDescent="0.25">
      <c r="B129" t="s">
        <v>723</v>
      </c>
      <c r="C129" t="s">
        <v>762</v>
      </c>
      <c r="D129" t="s">
        <v>1147</v>
      </c>
      <c r="E129" s="6">
        <f t="shared" si="1"/>
        <v>210707813</v>
      </c>
      <c r="F129" s="9" t="str" cm="1">
        <f t="array" ref="F129">_xlfn.LET( _xlpm.original, E129,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021 070 7813</v>
      </c>
      <c r="H129" t="s">
        <v>1750</v>
      </c>
      <c r="J129" t="s">
        <v>762</v>
      </c>
      <c r="K129" t="s">
        <v>2124</v>
      </c>
      <c r="L129" t="s">
        <v>2416</v>
      </c>
    </row>
    <row r="130" spans="1:12" x14ac:dyDescent="0.25">
      <c r="A130" t="s">
        <v>56</v>
      </c>
      <c r="B130" t="s">
        <v>722</v>
      </c>
      <c r="C130" t="s">
        <v>758</v>
      </c>
      <c r="D130" t="s">
        <v>1146</v>
      </c>
      <c r="E130" s="6">
        <f t="shared" si="1"/>
        <v>21937360</v>
      </c>
      <c r="F130" s="9" t="str" cm="1">
        <f t="array" ref="F130">_xlfn.LET( _xlpm.original, E130,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021 937 360</v>
      </c>
      <c r="G130" t="s">
        <v>1200</v>
      </c>
      <c r="H130" t="s">
        <v>1505</v>
      </c>
      <c r="J130" t="s">
        <v>1813</v>
      </c>
      <c r="K130" t="s">
        <v>2123</v>
      </c>
      <c r="L130" t="s">
        <v>2527</v>
      </c>
    </row>
    <row r="131" spans="1:12" x14ac:dyDescent="0.25">
      <c r="A131" t="s">
        <v>287</v>
      </c>
      <c r="B131" t="s">
        <v>721</v>
      </c>
      <c r="C131" t="s">
        <v>758</v>
      </c>
      <c r="D131" t="s">
        <v>1145</v>
      </c>
      <c r="E131" s="6">
        <f t="shared" si="1"/>
        <v>212986045</v>
      </c>
      <c r="F131" s="9" t="str" cm="1">
        <f t="array" ref="F131">_xlfn.LET( _xlpm.original, E131,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021 298 6045</v>
      </c>
      <c r="H131" t="s">
        <v>1749</v>
      </c>
      <c r="J131" t="s">
        <v>769</v>
      </c>
      <c r="K131" t="s">
        <v>2122</v>
      </c>
      <c r="L131" t="s">
        <v>2526</v>
      </c>
    </row>
    <row r="132" spans="1:12" x14ac:dyDescent="0.25">
      <c r="A132" t="s">
        <v>286</v>
      </c>
      <c r="B132" t="s">
        <v>720</v>
      </c>
      <c r="C132" t="s">
        <v>758</v>
      </c>
      <c r="D132" t="s">
        <v>1144</v>
      </c>
      <c r="E132" s="6">
        <f t="shared" ref="E132:E195" si="2">_xlfn.NUMBERVALUE(D132)</f>
        <v>21515854</v>
      </c>
      <c r="F132" s="9" t="str" cm="1">
        <f t="array" ref="F132">_xlfn.LET( _xlpm.original, E132,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021 515 854</v>
      </c>
      <c r="H132" t="s">
        <v>1748</v>
      </c>
      <c r="J132" t="s">
        <v>769</v>
      </c>
      <c r="K132" t="s">
        <v>2121</v>
      </c>
      <c r="L132" t="s">
        <v>2525</v>
      </c>
    </row>
    <row r="133" spans="1:12" x14ac:dyDescent="0.25">
      <c r="A133" t="s">
        <v>10</v>
      </c>
      <c r="B133" t="s">
        <v>719</v>
      </c>
      <c r="C133" t="s">
        <v>758</v>
      </c>
      <c r="D133" t="s">
        <v>1143</v>
      </c>
      <c r="E133" s="6">
        <f t="shared" si="2"/>
        <v>21946597</v>
      </c>
      <c r="F133" s="9" t="str" cm="1">
        <f t="array" ref="F133">_xlfn.LET( _xlpm.original, E133,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021 946 597</v>
      </c>
      <c r="G133" t="s">
        <v>1182</v>
      </c>
      <c r="H133" t="s">
        <v>1747</v>
      </c>
      <c r="J133" t="s">
        <v>762</v>
      </c>
      <c r="K133" t="s">
        <v>2120</v>
      </c>
      <c r="L133" t="s">
        <v>2226</v>
      </c>
    </row>
    <row r="134" spans="1:12" x14ac:dyDescent="0.25">
      <c r="A134" t="s">
        <v>69</v>
      </c>
      <c r="B134" t="s">
        <v>718</v>
      </c>
      <c r="C134" t="s">
        <v>758</v>
      </c>
      <c r="D134" t="s">
        <v>1141</v>
      </c>
      <c r="E134" s="6">
        <f t="shared" si="2"/>
        <v>2041516580</v>
      </c>
      <c r="F134" s="9" t="str" cm="1">
        <f t="array" ref="F134">_xlfn.LET( _xlpm.original, E134,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204 151 6580</v>
      </c>
      <c r="H134" t="s">
        <v>1746</v>
      </c>
      <c r="J134" t="s">
        <v>762</v>
      </c>
      <c r="K134" t="s">
        <v>2119</v>
      </c>
      <c r="L134" t="s">
        <v>2524</v>
      </c>
    </row>
    <row r="135" spans="1:12" x14ac:dyDescent="0.25">
      <c r="A135" t="s">
        <v>69</v>
      </c>
      <c r="B135" t="s">
        <v>718</v>
      </c>
      <c r="C135" t="s">
        <v>758</v>
      </c>
      <c r="D135" t="s">
        <v>1142</v>
      </c>
      <c r="E135" s="6">
        <f t="shared" si="2"/>
        <v>94159115</v>
      </c>
      <c r="F135" s="9" t="str" cm="1">
        <f t="array" ref="F135">_xlfn.LET( _xlpm.original, E135,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094 159 115</v>
      </c>
      <c r="G135" t="s">
        <v>1141</v>
      </c>
      <c r="H135" t="s">
        <v>1746</v>
      </c>
      <c r="J135" t="s">
        <v>762</v>
      </c>
      <c r="K135" t="s">
        <v>2119</v>
      </c>
      <c r="L135" t="s">
        <v>2524</v>
      </c>
    </row>
    <row r="136" spans="1:12" x14ac:dyDescent="0.25">
      <c r="A136" t="s">
        <v>285</v>
      </c>
      <c r="B136" t="s">
        <v>717</v>
      </c>
      <c r="C136" t="s">
        <v>758</v>
      </c>
      <c r="D136" t="s">
        <v>1140</v>
      </c>
      <c r="E136" s="6">
        <f t="shared" si="2"/>
        <v>220693135</v>
      </c>
      <c r="F136" s="9" t="str" cm="1">
        <f t="array" ref="F136">_xlfn.LET( _xlpm.original, E136,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022 069 3135</v>
      </c>
      <c r="H136" t="s">
        <v>1745</v>
      </c>
      <c r="J136" t="s">
        <v>1786</v>
      </c>
      <c r="K136" t="s">
        <v>2118</v>
      </c>
      <c r="L136" t="s">
        <v>1828</v>
      </c>
    </row>
    <row r="137" spans="1:12" x14ac:dyDescent="0.25">
      <c r="A137" t="s">
        <v>12</v>
      </c>
      <c r="B137" t="s">
        <v>716</v>
      </c>
      <c r="C137" t="s">
        <v>758</v>
      </c>
      <c r="D137" t="s">
        <v>1139</v>
      </c>
      <c r="E137" s="6">
        <f t="shared" si="2"/>
        <v>272018309</v>
      </c>
      <c r="F137" s="9" t="str" cm="1">
        <f t="array" ref="F137">_xlfn.LET( _xlpm.original, E137,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027 201 8309</v>
      </c>
      <c r="G137" t="s">
        <v>1209</v>
      </c>
      <c r="H137" t="s">
        <v>1744</v>
      </c>
      <c r="J137" t="s">
        <v>762</v>
      </c>
      <c r="K137" t="s">
        <v>2117</v>
      </c>
      <c r="L137" t="s">
        <v>2523</v>
      </c>
    </row>
    <row r="138" spans="1:12" x14ac:dyDescent="0.25">
      <c r="A138" t="s">
        <v>284</v>
      </c>
      <c r="B138" t="s">
        <v>715</v>
      </c>
      <c r="C138" t="s">
        <v>758</v>
      </c>
      <c r="D138" t="s">
        <v>1138</v>
      </c>
      <c r="E138" s="6">
        <f t="shared" si="2"/>
        <v>21569635</v>
      </c>
      <c r="F138" s="9" t="str" cm="1">
        <f t="array" ref="F138">_xlfn.LET( _xlpm.original, E138,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021 569 635</v>
      </c>
      <c r="G138" t="s">
        <v>1315</v>
      </c>
      <c r="H138" t="s">
        <v>1743</v>
      </c>
      <c r="J138" t="s">
        <v>762</v>
      </c>
      <c r="K138" t="s">
        <v>2116</v>
      </c>
      <c r="L138" t="s">
        <v>2484</v>
      </c>
    </row>
    <row r="139" spans="1:12" x14ac:dyDescent="0.25">
      <c r="A139" t="s">
        <v>283</v>
      </c>
      <c r="B139" t="s">
        <v>714</v>
      </c>
      <c r="C139" t="s">
        <v>758</v>
      </c>
      <c r="D139" t="s">
        <v>1137</v>
      </c>
      <c r="E139" s="6">
        <f t="shared" si="2"/>
        <v>278988118</v>
      </c>
      <c r="F139" s="9" t="str" cm="1">
        <f t="array" ref="F139">_xlfn.LET( _xlpm.original, E139,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027 898 8118</v>
      </c>
      <c r="H139" t="s">
        <v>1742</v>
      </c>
      <c r="J139" t="s">
        <v>769</v>
      </c>
      <c r="K139" t="s">
        <v>2115</v>
      </c>
      <c r="L139" t="s">
        <v>2168</v>
      </c>
    </row>
    <row r="140" spans="1:12" x14ac:dyDescent="0.25">
      <c r="A140" t="s">
        <v>282</v>
      </c>
      <c r="B140" t="s">
        <v>713</v>
      </c>
      <c r="C140" t="s">
        <v>758</v>
      </c>
      <c r="D140" t="s">
        <v>1136</v>
      </c>
      <c r="E140" s="6">
        <f t="shared" si="2"/>
        <v>211130654</v>
      </c>
      <c r="F140" s="9" t="str" cm="1">
        <f t="array" ref="F140">_xlfn.LET( _xlpm.original, E140,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021 113 0654</v>
      </c>
      <c r="H140" t="s">
        <v>1741</v>
      </c>
      <c r="J140" t="s">
        <v>769</v>
      </c>
      <c r="K140" t="s">
        <v>2114</v>
      </c>
      <c r="L140" t="s">
        <v>2522</v>
      </c>
    </row>
    <row r="141" spans="1:12" x14ac:dyDescent="0.25">
      <c r="A141" t="s">
        <v>281</v>
      </c>
      <c r="B141" t="s">
        <v>712</v>
      </c>
      <c r="C141" t="s">
        <v>758</v>
      </c>
      <c r="D141" t="s">
        <v>1135</v>
      </c>
      <c r="E141" s="6">
        <f t="shared" si="2"/>
        <v>21578091</v>
      </c>
      <c r="F141" s="9" t="str" cm="1">
        <f t="array" ref="F141">_xlfn.LET( _xlpm.original, E141,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021 578 091</v>
      </c>
      <c r="H141" t="s">
        <v>1740</v>
      </c>
      <c r="J141" t="s">
        <v>1788</v>
      </c>
      <c r="K141" t="s">
        <v>2113</v>
      </c>
      <c r="L141" t="s">
        <v>2521</v>
      </c>
    </row>
    <row r="142" spans="1:12" x14ac:dyDescent="0.25">
      <c r="A142" t="s">
        <v>280</v>
      </c>
      <c r="B142" t="s">
        <v>711</v>
      </c>
      <c r="C142" t="s">
        <v>758</v>
      </c>
      <c r="D142" t="s">
        <v>1134</v>
      </c>
      <c r="E142" s="6">
        <f t="shared" si="2"/>
        <v>21978592</v>
      </c>
      <c r="F142" s="9" t="str" cm="1">
        <f t="array" ref="F142">_xlfn.LET( _xlpm.original, E142,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021 978 592</v>
      </c>
      <c r="H142" t="s">
        <v>1739</v>
      </c>
      <c r="J142" t="s">
        <v>769</v>
      </c>
      <c r="K142" t="s">
        <v>2112</v>
      </c>
      <c r="L142" t="s">
        <v>2520</v>
      </c>
    </row>
    <row r="143" spans="1:12" x14ac:dyDescent="0.25">
      <c r="A143" t="s">
        <v>90</v>
      </c>
      <c r="B143" t="s">
        <v>710</v>
      </c>
      <c r="C143" t="s">
        <v>758</v>
      </c>
      <c r="D143" t="s">
        <v>1133</v>
      </c>
      <c r="E143" s="6">
        <f t="shared" si="2"/>
        <v>21878598</v>
      </c>
      <c r="F143" s="9" t="str" cm="1">
        <f t="array" ref="F143">_xlfn.LET( _xlpm.original, E143,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021 878 598</v>
      </c>
      <c r="G143" t="s">
        <v>1314</v>
      </c>
      <c r="H143" t="s">
        <v>1738</v>
      </c>
      <c r="J143" t="s">
        <v>1797</v>
      </c>
      <c r="K143" t="s">
        <v>2111</v>
      </c>
      <c r="L143" t="s">
        <v>2252</v>
      </c>
    </row>
    <row r="144" spans="1:12" x14ac:dyDescent="0.25">
      <c r="A144" t="s">
        <v>279</v>
      </c>
      <c r="B144" t="s">
        <v>709</v>
      </c>
      <c r="C144" t="s">
        <v>758</v>
      </c>
      <c r="D144" t="s">
        <v>1132</v>
      </c>
      <c r="E144" s="6">
        <f t="shared" si="2"/>
        <v>21387543</v>
      </c>
      <c r="F144" s="9" t="str" cm="1">
        <f t="array" ref="F144">_xlfn.LET( _xlpm.original, E144,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021 387 543</v>
      </c>
      <c r="H144" t="s">
        <v>1737</v>
      </c>
      <c r="J144" t="s">
        <v>769</v>
      </c>
      <c r="K144" t="s">
        <v>2110</v>
      </c>
      <c r="L144" t="s">
        <v>2519</v>
      </c>
    </row>
    <row r="145" spans="1:12" x14ac:dyDescent="0.25">
      <c r="A145" t="s">
        <v>278</v>
      </c>
      <c r="B145" t="s">
        <v>708</v>
      </c>
      <c r="C145" t="s">
        <v>758</v>
      </c>
      <c r="D145" t="s">
        <v>1131</v>
      </c>
      <c r="E145" s="6">
        <f t="shared" si="2"/>
        <v>272653277</v>
      </c>
      <c r="F145" s="9" t="str" cm="1">
        <f t="array" ref="F145">_xlfn.LET( _xlpm.original, E145,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027 265 3277</v>
      </c>
      <c r="H145" t="s">
        <v>1736</v>
      </c>
      <c r="J145" t="s">
        <v>1791</v>
      </c>
      <c r="K145" t="s">
        <v>2110</v>
      </c>
      <c r="L145" t="s">
        <v>2518</v>
      </c>
    </row>
    <row r="146" spans="1:12" x14ac:dyDescent="0.25">
      <c r="A146" t="s">
        <v>53</v>
      </c>
      <c r="B146" t="s">
        <v>707</v>
      </c>
      <c r="C146" t="s">
        <v>758</v>
      </c>
      <c r="D146" t="s">
        <v>1130</v>
      </c>
      <c r="E146" s="6">
        <f t="shared" si="2"/>
        <v>2102088588</v>
      </c>
      <c r="F146" s="9" t="str" cm="1">
        <f t="array" ref="F146">_xlfn.LET( _xlpm.original, E146,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210 208 8588</v>
      </c>
      <c r="H146" t="s">
        <v>1735</v>
      </c>
      <c r="J146" t="s">
        <v>762</v>
      </c>
      <c r="K146" t="s">
        <v>2109</v>
      </c>
      <c r="L146" t="s">
        <v>2517</v>
      </c>
    </row>
    <row r="147" spans="1:12" x14ac:dyDescent="0.25">
      <c r="A147" t="s">
        <v>147</v>
      </c>
      <c r="B147" t="s">
        <v>706</v>
      </c>
      <c r="C147" t="s">
        <v>758</v>
      </c>
      <c r="D147" t="s">
        <v>1129</v>
      </c>
      <c r="E147" s="6">
        <f t="shared" si="2"/>
        <v>210438164</v>
      </c>
      <c r="F147" s="9" t="str" cm="1">
        <f t="array" ref="F147">_xlfn.LET( _xlpm.original, E147,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021 043 8164</v>
      </c>
      <c r="H147" t="s">
        <v>1734</v>
      </c>
      <c r="J147" t="s">
        <v>769</v>
      </c>
      <c r="K147" t="s">
        <v>2108</v>
      </c>
      <c r="L147" t="s">
        <v>2516</v>
      </c>
    </row>
    <row r="148" spans="1:12" x14ac:dyDescent="0.25">
      <c r="A148" t="s">
        <v>12</v>
      </c>
      <c r="B148" t="s">
        <v>705</v>
      </c>
      <c r="C148" t="s">
        <v>758</v>
      </c>
      <c r="D148" t="s">
        <v>1128</v>
      </c>
      <c r="E148" s="6">
        <f t="shared" si="2"/>
        <v>21413799</v>
      </c>
      <c r="F148" s="9" t="str" cm="1">
        <f t="array" ref="F148">_xlfn.LET( _xlpm.original, E148,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021 413 799</v>
      </c>
      <c r="H148" t="s">
        <v>1733</v>
      </c>
      <c r="J148" t="s">
        <v>766</v>
      </c>
      <c r="K148" t="s">
        <v>2108</v>
      </c>
      <c r="L148" t="s">
        <v>2515</v>
      </c>
    </row>
    <row r="149" spans="1:12" x14ac:dyDescent="0.25">
      <c r="B149" t="s">
        <v>704</v>
      </c>
      <c r="C149" t="s">
        <v>760</v>
      </c>
      <c r="D149" t="s">
        <v>1127</v>
      </c>
      <c r="E149" s="6">
        <f t="shared" si="2"/>
        <v>274882505</v>
      </c>
      <c r="F149" s="9" t="str" cm="1">
        <f t="array" ref="F149">_xlfn.LET( _xlpm.original, E149,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027 488 2505</v>
      </c>
      <c r="G149" t="s">
        <v>1313</v>
      </c>
      <c r="H149" t="s">
        <v>1732</v>
      </c>
      <c r="J149" t="s">
        <v>1791</v>
      </c>
      <c r="K149" t="s">
        <v>2107</v>
      </c>
      <c r="L149" t="s">
        <v>2187</v>
      </c>
    </row>
    <row r="150" spans="1:12" x14ac:dyDescent="0.25">
      <c r="A150" t="s">
        <v>277</v>
      </c>
      <c r="B150" t="s">
        <v>703</v>
      </c>
      <c r="C150" t="s">
        <v>758</v>
      </c>
      <c r="D150" t="s">
        <v>1126</v>
      </c>
      <c r="E150" s="6">
        <f t="shared" si="2"/>
        <v>211349900</v>
      </c>
      <c r="F150" s="9" t="str" cm="1">
        <f t="array" ref="F150">_xlfn.LET( _xlpm.original, E150,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021 134 9900</v>
      </c>
      <c r="H150" t="s">
        <v>1731</v>
      </c>
      <c r="J150" t="s">
        <v>769</v>
      </c>
      <c r="K150" t="s">
        <v>2106</v>
      </c>
      <c r="L150" t="s">
        <v>2514</v>
      </c>
    </row>
    <row r="151" spans="1:12" x14ac:dyDescent="0.25">
      <c r="A151" t="s">
        <v>276</v>
      </c>
      <c r="B151" t="s">
        <v>702</v>
      </c>
      <c r="C151" t="s">
        <v>758</v>
      </c>
      <c r="D151" t="s">
        <v>1125</v>
      </c>
      <c r="E151" s="6">
        <f t="shared" si="2"/>
        <v>274587002</v>
      </c>
      <c r="F151" s="9" t="str" cm="1">
        <f t="array" ref="F151">_xlfn.LET( _xlpm.original, E151,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027 458 7002</v>
      </c>
      <c r="H151" t="s">
        <v>1730</v>
      </c>
      <c r="J151" t="s">
        <v>769</v>
      </c>
      <c r="K151" t="s">
        <v>2106</v>
      </c>
      <c r="L151" t="s">
        <v>2415</v>
      </c>
    </row>
    <row r="152" spans="1:12" x14ac:dyDescent="0.25">
      <c r="A152" t="s">
        <v>275</v>
      </c>
      <c r="B152" t="s">
        <v>701</v>
      </c>
      <c r="C152" t="s">
        <v>758</v>
      </c>
      <c r="D152" t="s">
        <v>1124</v>
      </c>
      <c r="E152" s="6">
        <f t="shared" si="2"/>
        <v>21960162</v>
      </c>
      <c r="F152" s="9" t="str" cm="1">
        <f t="array" ref="F152">_xlfn.LET( _xlpm.original, E152,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021 960 162</v>
      </c>
      <c r="G152" t="s">
        <v>1312</v>
      </c>
      <c r="H152" t="s">
        <v>1729</v>
      </c>
      <c r="J152" t="s">
        <v>769</v>
      </c>
      <c r="K152" t="s">
        <v>2105</v>
      </c>
      <c r="L152" t="s">
        <v>2513</v>
      </c>
    </row>
    <row r="153" spans="1:12" x14ac:dyDescent="0.25">
      <c r="A153" t="s">
        <v>291</v>
      </c>
      <c r="B153" t="s">
        <v>727</v>
      </c>
      <c r="C153" t="s">
        <v>758</v>
      </c>
      <c r="D153" t="s">
        <v>1149</v>
      </c>
      <c r="E153" s="6">
        <f t="shared" si="2"/>
        <v>274969730</v>
      </c>
      <c r="F153" s="9" t="str" cm="1">
        <f t="array" ref="F153">_xlfn.LET( _xlpm.original, E153,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027 496 9730</v>
      </c>
      <c r="H153" t="s">
        <v>1754</v>
      </c>
      <c r="J153" t="s">
        <v>1788</v>
      </c>
      <c r="K153" t="s">
        <v>2105</v>
      </c>
      <c r="L153" t="s">
        <v>2530</v>
      </c>
    </row>
    <row r="154" spans="1:12" x14ac:dyDescent="0.25">
      <c r="A154" t="s">
        <v>292</v>
      </c>
      <c r="B154" t="s">
        <v>728</v>
      </c>
      <c r="C154" t="s">
        <v>758</v>
      </c>
      <c r="D154" t="s">
        <v>1150</v>
      </c>
      <c r="E154" s="6">
        <f t="shared" si="2"/>
        <v>21608250</v>
      </c>
      <c r="F154" s="9" t="str" cm="1">
        <f t="array" ref="F154">_xlfn.LET( _xlpm.original, E154,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021 608 250</v>
      </c>
      <c r="G154" t="s">
        <v>1319</v>
      </c>
      <c r="H154" t="s">
        <v>1755</v>
      </c>
      <c r="J154" t="s">
        <v>1789</v>
      </c>
      <c r="K154" t="s">
        <v>2105</v>
      </c>
      <c r="L154" t="s">
        <v>2374</v>
      </c>
    </row>
    <row r="155" spans="1:12" x14ac:dyDescent="0.25">
      <c r="A155" t="s">
        <v>293</v>
      </c>
      <c r="B155" t="s">
        <v>729</v>
      </c>
      <c r="C155" t="s">
        <v>758</v>
      </c>
      <c r="D155" t="s">
        <v>1151</v>
      </c>
      <c r="E155" s="6">
        <f t="shared" si="2"/>
        <v>212985949</v>
      </c>
      <c r="F155" s="9" t="str" cm="1">
        <f t="array" ref="F155">_xlfn.LET( _xlpm.original, E155,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021 298 5949</v>
      </c>
      <c r="H155" t="s">
        <v>1756</v>
      </c>
      <c r="J155" t="s">
        <v>769</v>
      </c>
      <c r="K155" t="s">
        <v>2105</v>
      </c>
      <c r="L155" t="s">
        <v>2531</v>
      </c>
    </row>
    <row r="156" spans="1:12" x14ac:dyDescent="0.25">
      <c r="A156" t="s">
        <v>63</v>
      </c>
      <c r="B156" t="s">
        <v>730</v>
      </c>
      <c r="C156" t="s">
        <v>758</v>
      </c>
      <c r="D156" t="s">
        <v>1152</v>
      </c>
      <c r="E156" s="6">
        <f t="shared" si="2"/>
        <v>212414447</v>
      </c>
      <c r="F156" s="9" t="str" cm="1">
        <f t="array" ref="F156">_xlfn.LET( _xlpm.original, E156,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021 241 4447</v>
      </c>
      <c r="H156" t="s">
        <v>1757</v>
      </c>
      <c r="J156" t="s">
        <v>1794</v>
      </c>
      <c r="K156" t="s">
        <v>2105</v>
      </c>
      <c r="L156" t="s">
        <v>2532</v>
      </c>
    </row>
    <row r="157" spans="1:12" x14ac:dyDescent="0.25">
      <c r="A157" t="s">
        <v>25</v>
      </c>
      <c r="B157" t="s">
        <v>754</v>
      </c>
      <c r="C157" t="s">
        <v>761</v>
      </c>
      <c r="E157" s="6">
        <f t="shared" si="2"/>
        <v>0</v>
      </c>
      <c r="F157" s="9" t="str" cm="1">
        <f t="array" ref="F157">_xlfn.LET( _xlpm.original, E157,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157" t="s">
        <v>1188</v>
      </c>
      <c r="H157" t="s">
        <v>1783</v>
      </c>
      <c r="J157" t="s">
        <v>762</v>
      </c>
      <c r="K157" t="s">
        <v>2148</v>
      </c>
      <c r="L157" t="s">
        <v>2549</v>
      </c>
    </row>
    <row r="158" spans="1:12" x14ac:dyDescent="0.25">
      <c r="A158" t="s">
        <v>309</v>
      </c>
      <c r="B158" t="s">
        <v>753</v>
      </c>
      <c r="C158" t="s">
        <v>758</v>
      </c>
      <c r="D158" t="s">
        <v>1175</v>
      </c>
      <c r="E158" s="6">
        <f t="shared" si="2"/>
        <v>21886346</v>
      </c>
      <c r="F158" s="9" t="str" cm="1">
        <f t="array" ref="F158">_xlfn.LET( _xlpm.original, E158,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021 886 346</v>
      </c>
      <c r="H158" t="s">
        <v>1782</v>
      </c>
      <c r="J158" t="s">
        <v>1791</v>
      </c>
      <c r="K158" t="s">
        <v>2147</v>
      </c>
      <c r="L158" t="s">
        <v>2548</v>
      </c>
    </row>
    <row r="159" spans="1:12" x14ac:dyDescent="0.25">
      <c r="A159" t="s">
        <v>308</v>
      </c>
      <c r="B159" t="s">
        <v>308</v>
      </c>
      <c r="C159" t="s">
        <v>758</v>
      </c>
      <c r="D159" t="s">
        <v>1174</v>
      </c>
      <c r="E159" s="6">
        <f t="shared" si="2"/>
        <v>21302584</v>
      </c>
      <c r="F159" s="9" t="str" cm="1">
        <f t="array" ref="F159">_xlfn.LET( _xlpm.original, E159,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021 302 584</v>
      </c>
      <c r="H159" t="s">
        <v>1781</v>
      </c>
      <c r="J159" t="s">
        <v>1786</v>
      </c>
      <c r="K159" t="s">
        <v>2146</v>
      </c>
      <c r="L159" t="s">
        <v>2547</v>
      </c>
    </row>
    <row r="160" spans="1:12" x14ac:dyDescent="0.25">
      <c r="A160" t="s">
        <v>274</v>
      </c>
      <c r="B160" t="s">
        <v>752</v>
      </c>
      <c r="C160" t="s">
        <v>758</v>
      </c>
      <c r="D160" t="s">
        <v>1173</v>
      </c>
      <c r="E160" s="6">
        <f t="shared" si="2"/>
        <v>21404585</v>
      </c>
      <c r="F160" s="9" t="str" cm="1">
        <f t="array" ref="F160">_xlfn.LET( _xlpm.original, E160,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021 404 585</v>
      </c>
      <c r="H160" t="s">
        <v>1780</v>
      </c>
      <c r="J160" t="s">
        <v>762</v>
      </c>
      <c r="K160" t="s">
        <v>2146</v>
      </c>
      <c r="L160" t="s">
        <v>2354</v>
      </c>
    </row>
    <row r="161" spans="1:12" x14ac:dyDescent="0.25">
      <c r="A161" t="s">
        <v>71</v>
      </c>
      <c r="B161" t="s">
        <v>751</v>
      </c>
      <c r="C161" t="s">
        <v>758</v>
      </c>
      <c r="D161" t="s">
        <v>1172</v>
      </c>
      <c r="E161" s="6">
        <f t="shared" si="2"/>
        <v>212413729</v>
      </c>
      <c r="F161" s="9" t="str" cm="1">
        <f t="array" ref="F161">_xlfn.LET( _xlpm.original, E161,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021 241 3729</v>
      </c>
      <c r="G161" t="s">
        <v>1325</v>
      </c>
      <c r="H161" t="s">
        <v>1779</v>
      </c>
      <c r="J161" t="s">
        <v>762</v>
      </c>
      <c r="K161" t="s">
        <v>2145</v>
      </c>
      <c r="L161" t="s">
        <v>2546</v>
      </c>
    </row>
    <row r="162" spans="1:12" x14ac:dyDescent="0.25">
      <c r="A162" t="s">
        <v>307</v>
      </c>
      <c r="B162" t="s">
        <v>750</v>
      </c>
      <c r="C162" t="s">
        <v>758</v>
      </c>
      <c r="D162" t="s">
        <v>1171</v>
      </c>
      <c r="E162" s="6">
        <f t="shared" si="2"/>
        <v>274299730</v>
      </c>
      <c r="F162" s="9" t="str" cm="1">
        <f t="array" ref="F162">_xlfn.LET( _xlpm.original, E162,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027 429 9730</v>
      </c>
      <c r="H162" t="s">
        <v>1778</v>
      </c>
      <c r="J162" t="s">
        <v>759</v>
      </c>
      <c r="K162" t="s">
        <v>2145</v>
      </c>
      <c r="L162" t="s">
        <v>2545</v>
      </c>
    </row>
    <row r="163" spans="1:12" x14ac:dyDescent="0.25">
      <c r="B163" t="s">
        <v>749</v>
      </c>
      <c r="C163" t="s">
        <v>762</v>
      </c>
      <c r="D163" t="s">
        <v>1170</v>
      </c>
      <c r="E163" s="6">
        <f t="shared" si="2"/>
        <v>221853800</v>
      </c>
      <c r="F163" s="9" t="str" cm="1">
        <f t="array" ref="F163">_xlfn.LET( _xlpm.original, E163,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022 185 3800</v>
      </c>
      <c r="H163" t="s">
        <v>1777</v>
      </c>
      <c r="J163" t="s">
        <v>762</v>
      </c>
      <c r="K163" t="s">
        <v>2144</v>
      </c>
      <c r="L163" t="s">
        <v>2246</v>
      </c>
    </row>
    <row r="164" spans="1:12" x14ac:dyDescent="0.25">
      <c r="A164" t="s">
        <v>306</v>
      </c>
      <c r="B164" t="s">
        <v>748</v>
      </c>
      <c r="C164" t="s">
        <v>758</v>
      </c>
      <c r="D164" t="s">
        <v>1169</v>
      </c>
      <c r="E164" s="6">
        <f t="shared" si="2"/>
        <v>211527252</v>
      </c>
      <c r="F164" s="9" t="str" cm="1">
        <f t="array" ref="F164">_xlfn.LET( _xlpm.original, E164,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021 152 7252</v>
      </c>
      <c r="H164" t="s">
        <v>1776</v>
      </c>
      <c r="J164" t="s">
        <v>769</v>
      </c>
      <c r="K164" t="s">
        <v>2143</v>
      </c>
      <c r="L164" t="s">
        <v>2246</v>
      </c>
    </row>
    <row r="165" spans="1:12" x14ac:dyDescent="0.25">
      <c r="A165" t="s">
        <v>305</v>
      </c>
      <c r="B165" t="s">
        <v>747</v>
      </c>
      <c r="C165" t="s">
        <v>758</v>
      </c>
      <c r="D165" t="s">
        <v>1168</v>
      </c>
      <c r="E165" s="6">
        <f t="shared" si="2"/>
        <v>21992484</v>
      </c>
      <c r="F165" s="9" t="str" cm="1">
        <f t="array" ref="F165">_xlfn.LET( _xlpm.original, E165,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021 992 484</v>
      </c>
      <c r="H165" t="s">
        <v>1775</v>
      </c>
      <c r="J165" t="s">
        <v>1788</v>
      </c>
      <c r="K165" t="s">
        <v>2142</v>
      </c>
      <c r="L165" t="s">
        <v>2544</v>
      </c>
    </row>
    <row r="166" spans="1:12" x14ac:dyDescent="0.25">
      <c r="A166" t="s">
        <v>304</v>
      </c>
      <c r="B166" t="s">
        <v>746</v>
      </c>
      <c r="C166" t="s">
        <v>758</v>
      </c>
      <c r="D166" t="s">
        <v>1167</v>
      </c>
      <c r="E166" s="6">
        <f t="shared" si="2"/>
        <v>272943335</v>
      </c>
      <c r="F166" s="9" t="str" cm="1">
        <f t="array" ref="F166">_xlfn.LET( _xlpm.original, E166,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027 294 3335</v>
      </c>
      <c r="H166" t="s">
        <v>1774</v>
      </c>
      <c r="J166" t="s">
        <v>1786</v>
      </c>
      <c r="K166" t="s">
        <v>304</v>
      </c>
      <c r="L166" t="s">
        <v>2281</v>
      </c>
    </row>
    <row r="167" spans="1:12" x14ac:dyDescent="0.25">
      <c r="A167" t="s">
        <v>303</v>
      </c>
      <c r="B167" t="s">
        <v>745</v>
      </c>
      <c r="C167" t="s">
        <v>758</v>
      </c>
      <c r="D167" t="s">
        <v>1166</v>
      </c>
      <c r="E167" s="6">
        <f t="shared" si="2"/>
        <v>212424000</v>
      </c>
      <c r="F167" s="9" t="str" cm="1">
        <f t="array" ref="F167">_xlfn.LET( _xlpm.original, E167,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021 242 4000</v>
      </c>
      <c r="H167" t="s">
        <v>1773</v>
      </c>
      <c r="J167" t="s">
        <v>769</v>
      </c>
      <c r="K167" t="s">
        <v>2141</v>
      </c>
      <c r="L167" t="s">
        <v>2543</v>
      </c>
    </row>
    <row r="168" spans="1:12" x14ac:dyDescent="0.25">
      <c r="A168" t="s">
        <v>52</v>
      </c>
      <c r="B168" t="s">
        <v>744</v>
      </c>
      <c r="C168" t="s">
        <v>762</v>
      </c>
      <c r="D168" t="s">
        <v>1165</v>
      </c>
      <c r="E168" s="6">
        <f t="shared" si="2"/>
        <v>2102565190</v>
      </c>
      <c r="F168" s="9" t="str" cm="1">
        <f t="array" ref="F168">_xlfn.LET( _xlpm.original, E168,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210 256 5190</v>
      </c>
      <c r="H168" t="s">
        <v>1772</v>
      </c>
      <c r="J168" t="s">
        <v>762</v>
      </c>
      <c r="K168" t="s">
        <v>2140</v>
      </c>
      <c r="L168" t="s">
        <v>2286</v>
      </c>
    </row>
    <row r="169" spans="1:12" x14ac:dyDescent="0.25">
      <c r="A169" t="s">
        <v>80</v>
      </c>
      <c r="B169" t="s">
        <v>743</v>
      </c>
      <c r="C169" t="s">
        <v>758</v>
      </c>
      <c r="D169" t="s">
        <v>1164</v>
      </c>
      <c r="E169" s="6">
        <f t="shared" si="2"/>
        <v>21364556</v>
      </c>
      <c r="F169" s="9" t="str" cm="1">
        <f t="array" ref="F169">_xlfn.LET( _xlpm.original, E169,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021 364 556</v>
      </c>
      <c r="H169" t="s">
        <v>1771</v>
      </c>
      <c r="J169" t="s">
        <v>1791</v>
      </c>
      <c r="K169" t="s">
        <v>2139</v>
      </c>
      <c r="L169" t="s">
        <v>2542</v>
      </c>
    </row>
    <row r="170" spans="1:12" x14ac:dyDescent="0.25">
      <c r="A170" t="s">
        <v>302</v>
      </c>
      <c r="B170" t="s">
        <v>302</v>
      </c>
      <c r="C170" t="s">
        <v>758</v>
      </c>
      <c r="D170" t="s">
        <v>1163</v>
      </c>
      <c r="E170" s="6">
        <f t="shared" si="2"/>
        <v>211223440</v>
      </c>
      <c r="F170" s="9" t="str" cm="1">
        <f t="array" ref="F170">_xlfn.LET( _xlpm.original, E170,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021 122 3440</v>
      </c>
      <c r="G170" t="s">
        <v>1324</v>
      </c>
      <c r="H170" t="s">
        <v>1770</v>
      </c>
      <c r="J170" t="s">
        <v>1786</v>
      </c>
      <c r="K170" t="s">
        <v>2138</v>
      </c>
      <c r="L170" t="s">
        <v>2259</v>
      </c>
    </row>
    <row r="171" spans="1:12" x14ac:dyDescent="0.25">
      <c r="A171" t="s">
        <v>301</v>
      </c>
      <c r="B171" t="s">
        <v>742</v>
      </c>
      <c r="C171" t="s">
        <v>758</v>
      </c>
      <c r="D171" t="s">
        <v>1162</v>
      </c>
      <c r="E171" s="6">
        <f t="shared" si="2"/>
        <v>21407722</v>
      </c>
      <c r="F171" s="9" t="str" cm="1">
        <f t="array" ref="F171">_xlfn.LET( _xlpm.original, E171,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021 407 722</v>
      </c>
      <c r="H171" t="s">
        <v>1769</v>
      </c>
      <c r="J171" t="s">
        <v>758</v>
      </c>
      <c r="K171" t="s">
        <v>2137</v>
      </c>
      <c r="L171" t="s">
        <v>2541</v>
      </c>
    </row>
    <row r="172" spans="1:12" x14ac:dyDescent="0.25">
      <c r="A172" t="s">
        <v>300</v>
      </c>
      <c r="B172" t="s">
        <v>741</v>
      </c>
      <c r="C172" t="s">
        <v>758</v>
      </c>
      <c r="D172" t="s">
        <v>1161</v>
      </c>
      <c r="E172" s="6">
        <f t="shared" si="2"/>
        <v>272246873</v>
      </c>
      <c r="F172" s="9" t="str" cm="1">
        <f t="array" ref="F172">_xlfn.LET( _xlpm.original, E172,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027 224 6873</v>
      </c>
      <c r="H172" t="s">
        <v>1768</v>
      </c>
      <c r="J172" t="s">
        <v>769</v>
      </c>
      <c r="K172" t="s">
        <v>2136</v>
      </c>
      <c r="L172" t="s">
        <v>2540</v>
      </c>
    </row>
    <row r="173" spans="1:12" x14ac:dyDescent="0.25">
      <c r="A173" t="s">
        <v>299</v>
      </c>
      <c r="B173" t="s">
        <v>740</v>
      </c>
      <c r="C173" t="s">
        <v>758</v>
      </c>
      <c r="D173" t="s">
        <v>1160</v>
      </c>
      <c r="E173" s="6">
        <f t="shared" si="2"/>
        <v>2102521201</v>
      </c>
      <c r="F173" s="9" t="str" cm="1">
        <f t="array" ref="F173">_xlfn.LET( _xlpm.original, E173,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210 252 1201</v>
      </c>
      <c r="G173" t="s">
        <v>1323</v>
      </c>
      <c r="H173" t="s">
        <v>1767</v>
      </c>
      <c r="J173" t="s">
        <v>764</v>
      </c>
      <c r="K173" t="s">
        <v>2135</v>
      </c>
      <c r="L173" t="s">
        <v>2374</v>
      </c>
    </row>
    <row r="174" spans="1:12" x14ac:dyDescent="0.25">
      <c r="A174" t="s">
        <v>262</v>
      </c>
      <c r="B174" t="s">
        <v>739</v>
      </c>
      <c r="C174" t="s">
        <v>758</v>
      </c>
      <c r="D174" t="s">
        <v>1159</v>
      </c>
      <c r="E174" s="6">
        <f t="shared" si="2"/>
        <v>226360313</v>
      </c>
      <c r="F174" s="9" t="str" cm="1">
        <f t="array" ref="F174">_xlfn.LET( _xlpm.original, E174,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022 636 0313</v>
      </c>
      <c r="H174" t="s">
        <v>1766</v>
      </c>
      <c r="J174" t="s">
        <v>759</v>
      </c>
      <c r="K174" t="s">
        <v>2134</v>
      </c>
      <c r="L174" t="s">
        <v>2539</v>
      </c>
    </row>
    <row r="175" spans="1:12" x14ac:dyDescent="0.25">
      <c r="A175" t="s">
        <v>298</v>
      </c>
      <c r="B175" t="s">
        <v>738</v>
      </c>
      <c r="C175" t="s">
        <v>758</v>
      </c>
      <c r="D175" t="s">
        <v>1158</v>
      </c>
      <c r="E175" s="6">
        <f t="shared" si="2"/>
        <v>212244008</v>
      </c>
      <c r="F175" s="9" t="str" cm="1">
        <f t="array" ref="F175">_xlfn.LET( _xlpm.original, E175,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021 224 4008</v>
      </c>
      <c r="G175" t="s">
        <v>1322</v>
      </c>
      <c r="H175" t="s">
        <v>1765</v>
      </c>
      <c r="J175" t="s">
        <v>1786</v>
      </c>
      <c r="K175" t="s">
        <v>2133</v>
      </c>
      <c r="L175" t="s">
        <v>2538</v>
      </c>
    </row>
    <row r="176" spans="1:12" x14ac:dyDescent="0.25">
      <c r="A176" t="s">
        <v>297</v>
      </c>
      <c r="B176" t="s">
        <v>737</v>
      </c>
      <c r="C176" t="s">
        <v>758</v>
      </c>
      <c r="D176" t="s">
        <v>1157</v>
      </c>
      <c r="E176" s="6">
        <f t="shared" si="2"/>
        <v>275457243</v>
      </c>
      <c r="F176" s="9" t="str" cm="1">
        <f t="array" ref="F176">_xlfn.LET( _xlpm.original, E176,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027 545 7243</v>
      </c>
      <c r="H176" t="s">
        <v>1764</v>
      </c>
      <c r="J176" t="s">
        <v>758</v>
      </c>
      <c r="K176" t="s">
        <v>2132</v>
      </c>
      <c r="L176" t="s">
        <v>2537</v>
      </c>
    </row>
    <row r="177" spans="1:12" x14ac:dyDescent="0.25">
      <c r="A177" t="s">
        <v>39</v>
      </c>
      <c r="B177" t="s">
        <v>736</v>
      </c>
      <c r="C177" t="s">
        <v>762</v>
      </c>
      <c r="E177" s="6">
        <f t="shared" si="2"/>
        <v>0</v>
      </c>
      <c r="F177" s="9" t="str" cm="1">
        <f t="array" ref="F177">_xlfn.LET( _xlpm.original, E177,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177" t="s">
        <v>1321</v>
      </c>
      <c r="H177" t="s">
        <v>1763</v>
      </c>
      <c r="J177" t="s">
        <v>762</v>
      </c>
      <c r="K177" t="s">
        <v>2131</v>
      </c>
      <c r="L177" t="s">
        <v>2536</v>
      </c>
    </row>
    <row r="178" spans="1:12" x14ac:dyDescent="0.25">
      <c r="A178" t="s">
        <v>296</v>
      </c>
      <c r="B178" t="s">
        <v>735</v>
      </c>
      <c r="C178" t="s">
        <v>762</v>
      </c>
      <c r="D178" t="s">
        <v>1156</v>
      </c>
      <c r="E178" s="6">
        <f t="shared" si="2"/>
        <v>211806228</v>
      </c>
      <c r="F178" s="9" t="str" cm="1">
        <f t="array" ref="F178">_xlfn.LET( _xlpm.original, E178,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021 180 6228</v>
      </c>
      <c r="G178" t="s">
        <v>1320</v>
      </c>
      <c r="H178" t="s">
        <v>1762</v>
      </c>
      <c r="J178" t="s">
        <v>762</v>
      </c>
      <c r="K178" t="s">
        <v>2130</v>
      </c>
      <c r="L178" t="s">
        <v>2535</v>
      </c>
    </row>
    <row r="179" spans="1:12" x14ac:dyDescent="0.25">
      <c r="A179" t="s">
        <v>25</v>
      </c>
      <c r="B179" t="s">
        <v>734</v>
      </c>
      <c r="C179" t="s">
        <v>758</v>
      </c>
      <c r="E179" s="6">
        <f t="shared" si="2"/>
        <v>0</v>
      </c>
      <c r="F179" s="9" t="str" cm="1">
        <f t="array" ref="F179">_xlfn.LET( _xlpm.original, E179,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179" t="s">
        <v>1188</v>
      </c>
      <c r="H179" t="s">
        <v>1761</v>
      </c>
      <c r="J179" t="s">
        <v>758</v>
      </c>
      <c r="K179" t="s">
        <v>2130</v>
      </c>
      <c r="L179" t="s">
        <v>2534</v>
      </c>
    </row>
    <row r="180" spans="1:12" x14ac:dyDescent="0.25">
      <c r="A180" t="s">
        <v>295</v>
      </c>
      <c r="B180" t="s">
        <v>733</v>
      </c>
      <c r="C180" t="s">
        <v>758</v>
      </c>
      <c r="D180" t="s">
        <v>1155</v>
      </c>
      <c r="E180" s="6">
        <f t="shared" si="2"/>
        <v>212611563</v>
      </c>
      <c r="F180" s="9" t="str" cm="1">
        <f t="array" ref="F180">_xlfn.LET( _xlpm.original, E180,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021 261 1563</v>
      </c>
      <c r="H180" t="s">
        <v>1760</v>
      </c>
      <c r="J180" t="s">
        <v>769</v>
      </c>
      <c r="K180" t="s">
        <v>2129</v>
      </c>
      <c r="L180" t="s">
        <v>2374</v>
      </c>
    </row>
    <row r="181" spans="1:12" x14ac:dyDescent="0.25">
      <c r="A181" t="s">
        <v>294</v>
      </c>
      <c r="B181" t="s">
        <v>732</v>
      </c>
      <c r="C181" t="s">
        <v>758</v>
      </c>
      <c r="D181" t="s">
        <v>1154</v>
      </c>
      <c r="E181" s="6">
        <f t="shared" si="2"/>
        <v>223211092</v>
      </c>
      <c r="F181" s="9" t="str" cm="1">
        <f t="array" ref="F181">_xlfn.LET( _xlpm.original, E181,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022 321 1092</v>
      </c>
      <c r="H181" t="s">
        <v>1759</v>
      </c>
      <c r="J181" t="s">
        <v>759</v>
      </c>
      <c r="K181" t="s">
        <v>2128</v>
      </c>
      <c r="L181" t="s">
        <v>2533</v>
      </c>
    </row>
    <row r="182" spans="1:12" x14ac:dyDescent="0.25">
      <c r="B182" t="s">
        <v>731</v>
      </c>
      <c r="C182" t="s">
        <v>758</v>
      </c>
      <c r="D182" t="s">
        <v>1153</v>
      </c>
      <c r="E182" s="6">
        <f t="shared" si="2"/>
        <v>211219168</v>
      </c>
      <c r="F182" s="9" t="str" cm="1">
        <f t="array" ref="F182">_xlfn.LET( _xlpm.original, E182,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021 121 9168</v>
      </c>
      <c r="H182" t="s">
        <v>1758</v>
      </c>
      <c r="J182" t="s">
        <v>1787</v>
      </c>
      <c r="K182" t="s">
        <v>2127</v>
      </c>
      <c r="L182" t="s">
        <v>2319</v>
      </c>
    </row>
    <row r="183" spans="1:12" x14ac:dyDescent="0.25">
      <c r="A183" t="s">
        <v>72</v>
      </c>
      <c r="B183" t="s">
        <v>700</v>
      </c>
      <c r="C183" t="s">
        <v>758</v>
      </c>
      <c r="D183" t="s">
        <v>1123</v>
      </c>
      <c r="E183" s="6">
        <f t="shared" si="2"/>
        <v>211146465</v>
      </c>
      <c r="F183" s="9" t="str" cm="1">
        <f t="array" ref="F183">_xlfn.LET( _xlpm.original, E183,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021 114 6465</v>
      </c>
      <c r="H183" t="s">
        <v>1728</v>
      </c>
      <c r="J183" t="s">
        <v>769</v>
      </c>
      <c r="K183" t="s">
        <v>2085</v>
      </c>
      <c r="L183" t="s">
        <v>2512</v>
      </c>
    </row>
    <row r="184" spans="1:12" x14ac:dyDescent="0.25">
      <c r="A184" t="s">
        <v>6</v>
      </c>
      <c r="B184" t="s">
        <v>699</v>
      </c>
      <c r="C184" t="s">
        <v>758</v>
      </c>
      <c r="D184">
        <v>212966268</v>
      </c>
      <c r="E184" s="6">
        <f t="shared" si="2"/>
        <v>212966268</v>
      </c>
      <c r="F184" s="9" t="str" cm="1">
        <f t="array" ref="F184">_xlfn.LET( _xlpm.original, E184,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021 296 6268</v>
      </c>
      <c r="H184" t="s">
        <v>1727</v>
      </c>
      <c r="J184" t="s">
        <v>1788</v>
      </c>
      <c r="K184" t="s">
        <v>2085</v>
      </c>
      <c r="L184" t="s">
        <v>2511</v>
      </c>
    </row>
    <row r="185" spans="1:12" x14ac:dyDescent="0.25">
      <c r="A185" t="s">
        <v>274</v>
      </c>
      <c r="B185" t="s">
        <v>698</v>
      </c>
      <c r="C185" t="s">
        <v>758</v>
      </c>
      <c r="D185" t="s">
        <v>1122</v>
      </c>
      <c r="E185" s="6">
        <f t="shared" si="2"/>
        <v>274063506</v>
      </c>
      <c r="F185" s="9" t="str" cm="1">
        <f t="array" ref="F185">_xlfn.LET( _xlpm.original, E185,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027 406 3506</v>
      </c>
      <c r="G185" t="s">
        <v>1311</v>
      </c>
      <c r="H185" t="s">
        <v>1726</v>
      </c>
      <c r="J185" t="s">
        <v>1786</v>
      </c>
      <c r="K185" t="s">
        <v>2085</v>
      </c>
      <c r="L185" t="s">
        <v>2510</v>
      </c>
    </row>
    <row r="186" spans="1:12" x14ac:dyDescent="0.25">
      <c r="A186" t="s">
        <v>273</v>
      </c>
      <c r="B186" t="s">
        <v>697</v>
      </c>
      <c r="C186" t="s">
        <v>758</v>
      </c>
      <c r="D186" t="s">
        <v>1121</v>
      </c>
      <c r="E186" s="6">
        <f t="shared" si="2"/>
        <v>272700258</v>
      </c>
      <c r="F186" s="9" t="str" cm="1">
        <f t="array" ref="F186">_xlfn.LET( _xlpm.original, E186,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027 270 0258</v>
      </c>
      <c r="G186" t="s">
        <v>1310</v>
      </c>
      <c r="H186" t="s">
        <v>1725</v>
      </c>
      <c r="J186" t="s">
        <v>1791</v>
      </c>
      <c r="K186" t="s">
        <v>2085</v>
      </c>
      <c r="L186" t="s">
        <v>2509</v>
      </c>
    </row>
    <row r="187" spans="1:12" x14ac:dyDescent="0.25">
      <c r="A187" t="s">
        <v>252</v>
      </c>
      <c r="B187" t="s">
        <v>670</v>
      </c>
      <c r="C187" t="s">
        <v>758</v>
      </c>
      <c r="D187" t="s">
        <v>1097</v>
      </c>
      <c r="E187" s="6">
        <f t="shared" si="2"/>
        <v>211586365</v>
      </c>
      <c r="F187" s="9" t="str" cm="1">
        <f t="array" ref="F187">_xlfn.LET( _xlpm.original, E187,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021 158 6365</v>
      </c>
      <c r="G187" t="s">
        <v>1301</v>
      </c>
      <c r="H187" t="s">
        <v>1697</v>
      </c>
      <c r="J187" t="s">
        <v>1786</v>
      </c>
      <c r="K187" t="s">
        <v>2085</v>
      </c>
      <c r="L187" t="s">
        <v>2485</v>
      </c>
    </row>
    <row r="188" spans="1:12" x14ac:dyDescent="0.25">
      <c r="A188" t="s">
        <v>251</v>
      </c>
      <c r="B188" t="s">
        <v>669</v>
      </c>
      <c r="C188" t="s">
        <v>758</v>
      </c>
      <c r="D188" t="s">
        <v>1096</v>
      </c>
      <c r="E188" s="6">
        <f t="shared" si="2"/>
        <v>291234900</v>
      </c>
      <c r="F188" s="9" t="str" cm="1">
        <f t="array" ref="F188">_xlfn.LET( _xlpm.original, E188,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029 123 4900</v>
      </c>
      <c r="G188" t="s">
        <v>1300</v>
      </c>
      <c r="H188" t="s">
        <v>1696</v>
      </c>
      <c r="J188" t="s">
        <v>762</v>
      </c>
      <c r="K188" t="s">
        <v>2085</v>
      </c>
      <c r="L188" t="s">
        <v>2484</v>
      </c>
    </row>
    <row r="189" spans="1:12" x14ac:dyDescent="0.25">
      <c r="B189" t="s">
        <v>668</v>
      </c>
      <c r="C189" t="s">
        <v>758</v>
      </c>
      <c r="D189" t="s">
        <v>1095</v>
      </c>
      <c r="E189" s="6">
        <f t="shared" si="2"/>
        <v>212277690</v>
      </c>
      <c r="F189" s="9" t="str" cm="1">
        <f t="array" ref="F189">_xlfn.LET( _xlpm.original, E189,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021 227 7690</v>
      </c>
      <c r="H189" t="s">
        <v>1695</v>
      </c>
      <c r="J189" t="s">
        <v>758</v>
      </c>
      <c r="K189" t="s">
        <v>2084</v>
      </c>
      <c r="L189" t="s">
        <v>2483</v>
      </c>
    </row>
    <row r="190" spans="1:12" x14ac:dyDescent="0.25">
      <c r="A190" t="s">
        <v>233</v>
      </c>
      <c r="B190" t="s">
        <v>667</v>
      </c>
      <c r="C190" t="s">
        <v>762</v>
      </c>
      <c r="E190" s="6">
        <f t="shared" si="2"/>
        <v>0</v>
      </c>
      <c r="F190" s="9" t="str" cm="1">
        <f t="array" ref="F190">_xlfn.LET( _xlpm.original, E190,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190" t="s">
        <v>1299</v>
      </c>
      <c r="H190" t="s">
        <v>1694</v>
      </c>
      <c r="J190" t="s">
        <v>762</v>
      </c>
      <c r="K190" t="s">
        <v>2083</v>
      </c>
      <c r="L190" t="s">
        <v>2482</v>
      </c>
    </row>
    <row r="191" spans="1:12" x14ac:dyDescent="0.25">
      <c r="A191" t="s">
        <v>107</v>
      </c>
      <c r="B191" t="s">
        <v>666</v>
      </c>
      <c r="C191" t="s">
        <v>770</v>
      </c>
      <c r="E191" s="6">
        <f t="shared" si="2"/>
        <v>0</v>
      </c>
      <c r="F191" s="9" t="str" cm="1">
        <f t="array" ref="F191">_xlfn.LET( _xlpm.original, E191,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191" t="s">
        <v>1298</v>
      </c>
      <c r="H191" t="s">
        <v>1693</v>
      </c>
      <c r="J191" t="s">
        <v>770</v>
      </c>
      <c r="K191" t="s">
        <v>2082</v>
      </c>
      <c r="L191" t="s">
        <v>2481</v>
      </c>
    </row>
    <row r="192" spans="1:12" x14ac:dyDescent="0.25">
      <c r="A192" t="s">
        <v>250</v>
      </c>
      <c r="B192" t="s">
        <v>665</v>
      </c>
      <c r="C192" t="s">
        <v>761</v>
      </c>
      <c r="D192" t="s">
        <v>1094</v>
      </c>
      <c r="E192" s="6">
        <f t="shared" si="2"/>
        <v>211797199</v>
      </c>
      <c r="F192" s="9" t="str" cm="1">
        <f t="array" ref="F192">_xlfn.LET( _xlpm.original, E192,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021 179 7199</v>
      </c>
      <c r="H192" t="s">
        <v>1692</v>
      </c>
      <c r="J192" t="s">
        <v>1785</v>
      </c>
      <c r="K192" t="s">
        <v>2081</v>
      </c>
      <c r="L192" t="s">
        <v>2480</v>
      </c>
    </row>
    <row r="193" spans="1:12" x14ac:dyDescent="0.25">
      <c r="A193" t="s">
        <v>249</v>
      </c>
      <c r="B193" t="s">
        <v>664</v>
      </c>
      <c r="C193" t="s">
        <v>758</v>
      </c>
      <c r="E193" s="6">
        <f t="shared" si="2"/>
        <v>0</v>
      </c>
      <c r="F193" s="9" t="str" cm="1">
        <f t="array" ref="F193">_xlfn.LET( _xlpm.original, E193,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193" t="s">
        <v>1297</v>
      </c>
      <c r="H193" t="s">
        <v>1691</v>
      </c>
      <c r="J193" t="s">
        <v>1811</v>
      </c>
      <c r="K193" t="s">
        <v>2080</v>
      </c>
      <c r="L193" t="s">
        <v>2054</v>
      </c>
    </row>
    <row r="194" spans="1:12" x14ac:dyDescent="0.25">
      <c r="A194" t="s">
        <v>248</v>
      </c>
      <c r="B194" t="s">
        <v>663</v>
      </c>
      <c r="C194" t="s">
        <v>758</v>
      </c>
      <c r="D194" t="s">
        <v>1093</v>
      </c>
      <c r="E194" s="6">
        <f t="shared" si="2"/>
        <v>275584233</v>
      </c>
      <c r="F194" s="9" t="str" cm="1">
        <f t="array" ref="F194">_xlfn.LET( _xlpm.original, E194,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027 558 4233</v>
      </c>
      <c r="H194" t="s">
        <v>1690</v>
      </c>
      <c r="J194" t="s">
        <v>769</v>
      </c>
      <c r="K194" t="s">
        <v>2080</v>
      </c>
      <c r="L194" t="s">
        <v>2479</v>
      </c>
    </row>
    <row r="195" spans="1:12" x14ac:dyDescent="0.25">
      <c r="A195" t="s">
        <v>52</v>
      </c>
      <c r="B195" t="s">
        <v>662</v>
      </c>
      <c r="C195" t="s">
        <v>760</v>
      </c>
      <c r="D195" t="s">
        <v>1092</v>
      </c>
      <c r="E195" s="6">
        <f t="shared" si="2"/>
        <v>21547343</v>
      </c>
      <c r="F195" s="9" t="str" cm="1">
        <f t="array" ref="F195">_xlfn.LET( _xlpm.original, E195,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021 547 343</v>
      </c>
      <c r="H195" t="s">
        <v>1689</v>
      </c>
      <c r="J195" t="s">
        <v>1791</v>
      </c>
      <c r="K195" t="s">
        <v>2080</v>
      </c>
      <c r="L195" t="s">
        <v>2478</v>
      </c>
    </row>
    <row r="196" spans="1:12" x14ac:dyDescent="0.25">
      <c r="A196" t="s">
        <v>247</v>
      </c>
      <c r="B196" t="s">
        <v>661</v>
      </c>
      <c r="C196" t="s">
        <v>765</v>
      </c>
      <c r="D196" t="s">
        <v>1091</v>
      </c>
      <c r="E196" s="6">
        <f t="shared" ref="E196:E259" si="3">_xlfn.NUMBERVALUE(D196)</f>
        <v>272835482</v>
      </c>
      <c r="F196" s="9" t="str" cm="1">
        <f t="array" ref="F196">_xlfn.LET( _xlpm.original, E196,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027 283 5482</v>
      </c>
      <c r="H196" t="s">
        <v>1688</v>
      </c>
      <c r="J196" t="s">
        <v>1788</v>
      </c>
      <c r="K196" t="s">
        <v>2079</v>
      </c>
      <c r="L196" t="s">
        <v>2477</v>
      </c>
    </row>
    <row r="197" spans="1:12" x14ac:dyDescent="0.25">
      <c r="A197" t="s">
        <v>246</v>
      </c>
      <c r="B197" t="s">
        <v>660</v>
      </c>
      <c r="C197" t="s">
        <v>758</v>
      </c>
      <c r="D197" t="s">
        <v>1090</v>
      </c>
      <c r="E197" s="6">
        <f t="shared" si="3"/>
        <v>2102236990</v>
      </c>
      <c r="F197" s="9" t="str" cm="1">
        <f t="array" ref="F197">_xlfn.LET( _xlpm.original, E197,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210 223 6990</v>
      </c>
      <c r="H197" t="s">
        <v>1687</v>
      </c>
      <c r="J197" t="s">
        <v>769</v>
      </c>
      <c r="K197" t="s">
        <v>2078</v>
      </c>
      <c r="L197" t="s">
        <v>1834</v>
      </c>
    </row>
    <row r="198" spans="1:12" x14ac:dyDescent="0.25">
      <c r="A198" t="s">
        <v>245</v>
      </c>
      <c r="B198" t="s">
        <v>659</v>
      </c>
      <c r="C198" t="s">
        <v>764</v>
      </c>
      <c r="D198" t="s">
        <v>1089</v>
      </c>
      <c r="E198" s="6">
        <f t="shared" si="3"/>
        <v>211193757</v>
      </c>
      <c r="F198" s="9" t="str" cm="1">
        <f t="array" ref="F198">_xlfn.LET( _xlpm.original, E198,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021 119 3757</v>
      </c>
      <c r="H198" t="s">
        <v>1686</v>
      </c>
      <c r="J198" t="s">
        <v>769</v>
      </c>
      <c r="K198" t="s">
        <v>2078</v>
      </c>
      <c r="L198" t="s">
        <v>2476</v>
      </c>
    </row>
    <row r="199" spans="1:12" x14ac:dyDescent="0.25">
      <c r="A199" t="s">
        <v>244</v>
      </c>
      <c r="B199" t="s">
        <v>658</v>
      </c>
      <c r="C199" t="s">
        <v>758</v>
      </c>
      <c r="D199" t="s">
        <v>1088</v>
      </c>
      <c r="E199" s="6">
        <f t="shared" si="3"/>
        <v>273880066</v>
      </c>
      <c r="F199" s="9" t="str" cm="1">
        <f t="array" ref="F199">_xlfn.LET( _xlpm.original, E199,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027 388 0066</v>
      </c>
      <c r="G199" t="s">
        <v>1296</v>
      </c>
      <c r="H199" t="s">
        <v>1685</v>
      </c>
      <c r="J199" t="s">
        <v>758</v>
      </c>
      <c r="K199" t="s">
        <v>2077</v>
      </c>
      <c r="L199" t="s">
        <v>2352</v>
      </c>
    </row>
    <row r="200" spans="1:12" x14ac:dyDescent="0.25">
      <c r="A200" t="s">
        <v>243</v>
      </c>
      <c r="B200" t="s">
        <v>657</v>
      </c>
      <c r="C200" t="s">
        <v>758</v>
      </c>
      <c r="D200" t="s">
        <v>1087</v>
      </c>
      <c r="E200" s="6">
        <f t="shared" si="3"/>
        <v>212438964</v>
      </c>
      <c r="F200" s="9" t="str" cm="1">
        <f t="array" ref="F200">_xlfn.LET( _xlpm.original, E200,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021 243 8964</v>
      </c>
      <c r="H200" t="s">
        <v>1684</v>
      </c>
      <c r="J200" t="s">
        <v>1786</v>
      </c>
      <c r="K200" t="s">
        <v>2076</v>
      </c>
      <c r="L200" t="s">
        <v>2475</v>
      </c>
    </row>
    <row r="201" spans="1:12" x14ac:dyDescent="0.25">
      <c r="A201" t="s">
        <v>242</v>
      </c>
      <c r="B201" t="s">
        <v>242</v>
      </c>
      <c r="C201" t="s">
        <v>758</v>
      </c>
      <c r="D201" t="s">
        <v>1086</v>
      </c>
      <c r="E201" s="6">
        <f t="shared" si="3"/>
        <v>210306841</v>
      </c>
      <c r="F201" s="9" t="str" cm="1">
        <f t="array" ref="F201">_xlfn.LET( _xlpm.original, E201,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021 030 6841</v>
      </c>
      <c r="H201" t="s">
        <v>1683</v>
      </c>
      <c r="J201" t="s">
        <v>1786</v>
      </c>
      <c r="K201" t="s">
        <v>2075</v>
      </c>
      <c r="L201" t="s">
        <v>2474</v>
      </c>
    </row>
    <row r="202" spans="1:12" x14ac:dyDescent="0.25">
      <c r="A202" t="s">
        <v>241</v>
      </c>
      <c r="B202" t="s">
        <v>656</v>
      </c>
      <c r="C202" t="s">
        <v>758</v>
      </c>
      <c r="D202" t="s">
        <v>1085</v>
      </c>
      <c r="E202" s="6">
        <f t="shared" si="3"/>
        <v>226580151</v>
      </c>
      <c r="F202" s="9" t="str" cm="1">
        <f t="array" ref="F202">_xlfn.LET( _xlpm.original, E202,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022 658 0151</v>
      </c>
      <c r="G202" t="s">
        <v>1295</v>
      </c>
      <c r="H202" t="s">
        <v>1682</v>
      </c>
      <c r="J202" t="s">
        <v>766</v>
      </c>
      <c r="K202" t="s">
        <v>2074</v>
      </c>
      <c r="L202" t="s">
        <v>2473</v>
      </c>
    </row>
    <row r="203" spans="1:12" x14ac:dyDescent="0.25">
      <c r="A203" t="s">
        <v>240</v>
      </c>
      <c r="B203" t="s">
        <v>655</v>
      </c>
      <c r="C203" t="s">
        <v>758</v>
      </c>
      <c r="D203" t="s">
        <v>1084</v>
      </c>
      <c r="E203" s="6">
        <f t="shared" si="3"/>
        <v>279422552</v>
      </c>
      <c r="F203" s="9" t="str" cm="1">
        <f t="array" ref="F203">_xlfn.LET( _xlpm.original, E203,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027 942 2552</v>
      </c>
      <c r="G203" t="s">
        <v>1294</v>
      </c>
      <c r="H203" t="s">
        <v>1681</v>
      </c>
      <c r="J203" t="s">
        <v>764</v>
      </c>
      <c r="K203" t="s">
        <v>2073</v>
      </c>
      <c r="L203" t="s">
        <v>2261</v>
      </c>
    </row>
    <row r="204" spans="1:12" x14ac:dyDescent="0.25">
      <c r="A204" t="s">
        <v>239</v>
      </c>
      <c r="B204" t="s">
        <v>654</v>
      </c>
      <c r="C204" t="s">
        <v>758</v>
      </c>
      <c r="E204" s="6">
        <f t="shared" si="3"/>
        <v>0</v>
      </c>
      <c r="F204" s="9" t="str" cm="1">
        <f t="array" ref="F204">_xlfn.LET( _xlpm.original, E204,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04" t="s">
        <v>1196</v>
      </c>
      <c r="H204" t="s">
        <v>1376</v>
      </c>
      <c r="J204" t="s">
        <v>1810</v>
      </c>
      <c r="K204" t="s">
        <v>2073</v>
      </c>
      <c r="L204" t="s">
        <v>2472</v>
      </c>
    </row>
    <row r="205" spans="1:12" x14ac:dyDescent="0.25">
      <c r="A205" t="s">
        <v>211</v>
      </c>
      <c r="B205" t="s">
        <v>653</v>
      </c>
      <c r="C205" t="s">
        <v>759</v>
      </c>
      <c r="E205" s="6">
        <f t="shared" si="3"/>
        <v>0</v>
      </c>
      <c r="F205" s="9" t="str" cm="1">
        <f t="array" ref="F205">_xlfn.LET( _xlpm.original, E205,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05" t="s">
        <v>1277</v>
      </c>
      <c r="H205" t="s">
        <v>1680</v>
      </c>
      <c r="J205" t="s">
        <v>1791</v>
      </c>
      <c r="K205" t="s">
        <v>2072</v>
      </c>
      <c r="L205" t="s">
        <v>2471</v>
      </c>
    </row>
    <row r="206" spans="1:12" x14ac:dyDescent="0.25">
      <c r="A206" t="s">
        <v>135</v>
      </c>
      <c r="B206" t="s">
        <v>652</v>
      </c>
      <c r="C206" t="s">
        <v>758</v>
      </c>
      <c r="D206" t="s">
        <v>1083</v>
      </c>
      <c r="E206" s="6">
        <f t="shared" si="3"/>
        <v>272211546</v>
      </c>
      <c r="F206" s="9" t="str" cm="1">
        <f t="array" ref="F206">_xlfn.LET( _xlpm.original, E206,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027 221 1546</v>
      </c>
      <c r="H206" t="s">
        <v>1679</v>
      </c>
      <c r="J206" t="s">
        <v>768</v>
      </c>
      <c r="K206" t="s">
        <v>2071</v>
      </c>
      <c r="L206" t="s">
        <v>2444</v>
      </c>
    </row>
    <row r="207" spans="1:12" x14ac:dyDescent="0.25">
      <c r="A207" t="s">
        <v>71</v>
      </c>
      <c r="B207" t="s">
        <v>651</v>
      </c>
      <c r="C207" t="s">
        <v>761</v>
      </c>
      <c r="D207" t="s">
        <v>1082</v>
      </c>
      <c r="E207" s="6">
        <f t="shared" si="3"/>
        <v>204200608</v>
      </c>
      <c r="F207" s="9" t="str" cm="1">
        <f t="array" ref="F207">_xlfn.LET( _xlpm.original, E207,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020 420 0608</v>
      </c>
      <c r="H207" t="s">
        <v>1678</v>
      </c>
      <c r="J207" t="s">
        <v>762</v>
      </c>
      <c r="K207" t="s">
        <v>2071</v>
      </c>
      <c r="L207" t="s">
        <v>2179</v>
      </c>
    </row>
    <row r="208" spans="1:12" x14ac:dyDescent="0.25">
      <c r="A208" t="s">
        <v>238</v>
      </c>
      <c r="B208" t="s">
        <v>650</v>
      </c>
      <c r="C208" t="s">
        <v>758</v>
      </c>
      <c r="D208" t="s">
        <v>1081</v>
      </c>
      <c r="E208" s="6">
        <f t="shared" si="3"/>
        <v>226714060</v>
      </c>
      <c r="F208" s="9" t="str" cm="1">
        <f t="array" ref="F208">_xlfn.LET( _xlpm.original, E208,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022 671 4060</v>
      </c>
      <c r="H208" t="s">
        <v>1677</v>
      </c>
      <c r="J208" t="s">
        <v>1786</v>
      </c>
      <c r="K208" t="s">
        <v>238</v>
      </c>
      <c r="L208" t="s">
        <v>2470</v>
      </c>
    </row>
    <row r="209" spans="1:12" x14ac:dyDescent="0.25">
      <c r="A209" t="s">
        <v>62</v>
      </c>
      <c r="B209" t="s">
        <v>649</v>
      </c>
      <c r="C209" t="s">
        <v>758</v>
      </c>
      <c r="D209" t="s">
        <v>1080</v>
      </c>
      <c r="E209" s="6">
        <f t="shared" si="3"/>
        <v>212866819</v>
      </c>
      <c r="F209" s="9" t="str" cm="1">
        <f t="array" ref="F209">_xlfn.LET( _xlpm.original, E209,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021 286 6819</v>
      </c>
      <c r="G209" t="s">
        <v>1293</v>
      </c>
      <c r="H209" t="s">
        <v>1676</v>
      </c>
      <c r="J209" t="s">
        <v>1791</v>
      </c>
      <c r="K209" t="s">
        <v>238</v>
      </c>
      <c r="L209" t="s">
        <v>2469</v>
      </c>
    </row>
    <row r="210" spans="1:12" x14ac:dyDescent="0.25">
      <c r="A210" t="s">
        <v>237</v>
      </c>
      <c r="B210" t="s">
        <v>648</v>
      </c>
      <c r="C210" t="s">
        <v>758</v>
      </c>
      <c r="D210" t="s">
        <v>1079</v>
      </c>
      <c r="E210" s="6">
        <f t="shared" si="3"/>
        <v>220388339</v>
      </c>
      <c r="F210" s="9" t="str" cm="1">
        <f t="array" ref="F210">_xlfn.LET( _xlpm.original, E210,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022 038 8339</v>
      </c>
      <c r="H210" t="s">
        <v>1675</v>
      </c>
      <c r="J210" t="s">
        <v>1786</v>
      </c>
      <c r="K210" t="s">
        <v>2070</v>
      </c>
      <c r="L210" t="s">
        <v>2281</v>
      </c>
    </row>
    <row r="211" spans="1:12" x14ac:dyDescent="0.25">
      <c r="A211" t="s">
        <v>236</v>
      </c>
      <c r="B211" t="s">
        <v>647</v>
      </c>
      <c r="C211" t="s">
        <v>758</v>
      </c>
      <c r="D211" t="s">
        <v>1078</v>
      </c>
      <c r="E211" s="6">
        <f t="shared" si="3"/>
        <v>21634766</v>
      </c>
      <c r="F211" s="9" t="str" cm="1">
        <f t="array" ref="F211">_xlfn.LET( _xlpm.original, E211,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021 634 766</v>
      </c>
      <c r="H211" t="s">
        <v>1674</v>
      </c>
      <c r="J211" t="s">
        <v>769</v>
      </c>
      <c r="K211" t="s">
        <v>2069</v>
      </c>
      <c r="L211" t="s">
        <v>2468</v>
      </c>
    </row>
    <row r="212" spans="1:12" x14ac:dyDescent="0.25">
      <c r="A212" t="s">
        <v>235</v>
      </c>
      <c r="B212" t="s">
        <v>646</v>
      </c>
      <c r="C212" t="s">
        <v>758</v>
      </c>
      <c r="D212" t="s">
        <v>1077</v>
      </c>
      <c r="E212" s="6">
        <f t="shared" si="3"/>
        <v>211349843</v>
      </c>
      <c r="F212" s="9" t="str" cm="1">
        <f t="array" ref="F212">_xlfn.LET( _xlpm.original, E212,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021 134 9843</v>
      </c>
      <c r="H212" t="s">
        <v>1673</v>
      </c>
      <c r="J212" t="s">
        <v>1790</v>
      </c>
      <c r="K212" t="s">
        <v>2069</v>
      </c>
      <c r="L212" t="s">
        <v>2467</v>
      </c>
    </row>
    <row r="213" spans="1:12" x14ac:dyDescent="0.25">
      <c r="A213" t="s">
        <v>20</v>
      </c>
      <c r="B213" t="s">
        <v>646</v>
      </c>
      <c r="C213" t="s">
        <v>758</v>
      </c>
      <c r="D213" t="s">
        <v>1076</v>
      </c>
      <c r="E213" s="6">
        <f t="shared" si="3"/>
        <v>211349843</v>
      </c>
      <c r="F213" s="9" t="str" cm="1">
        <f t="array" ref="F213">_xlfn.LET( _xlpm.original, E213,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021 134 9843</v>
      </c>
      <c r="H213" t="s">
        <v>1672</v>
      </c>
      <c r="J213" t="s">
        <v>1790</v>
      </c>
      <c r="K213" t="s">
        <v>2069</v>
      </c>
      <c r="L213" t="s">
        <v>2467</v>
      </c>
    </row>
    <row r="214" spans="1:12" x14ac:dyDescent="0.25">
      <c r="A214" t="s">
        <v>253</v>
      </c>
      <c r="B214" t="s">
        <v>671</v>
      </c>
      <c r="C214" t="s">
        <v>758</v>
      </c>
      <c r="D214" t="s">
        <v>1076</v>
      </c>
      <c r="E214" s="6">
        <f t="shared" si="3"/>
        <v>211349843</v>
      </c>
      <c r="F214" s="9" t="str" cm="1">
        <f t="array" ref="F214">_xlfn.LET( _xlpm.original, E214,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021 134 9843</v>
      </c>
      <c r="G214" t="s">
        <v>1224</v>
      </c>
      <c r="H214" t="s">
        <v>1673</v>
      </c>
      <c r="J214" t="s">
        <v>762</v>
      </c>
      <c r="K214" t="s">
        <v>2069</v>
      </c>
      <c r="L214" t="s">
        <v>2486</v>
      </c>
    </row>
    <row r="215" spans="1:12" x14ac:dyDescent="0.25">
      <c r="B215" t="s">
        <v>672</v>
      </c>
      <c r="C215" t="s">
        <v>762</v>
      </c>
      <c r="D215" t="s">
        <v>1098</v>
      </c>
      <c r="E215" s="6">
        <f t="shared" si="3"/>
        <v>210563445</v>
      </c>
      <c r="F215" s="9" t="str" cm="1">
        <f t="array" ref="F215">_xlfn.LET( _xlpm.original, E215,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021 056 3445</v>
      </c>
      <c r="H215" t="s">
        <v>1698</v>
      </c>
      <c r="J215" t="s">
        <v>1790</v>
      </c>
      <c r="K215" t="s">
        <v>2086</v>
      </c>
      <c r="L215" t="s">
        <v>2259</v>
      </c>
    </row>
    <row r="216" spans="1:12" x14ac:dyDescent="0.25">
      <c r="A216" t="s">
        <v>254</v>
      </c>
      <c r="B216" t="s">
        <v>673</v>
      </c>
      <c r="C216" t="s">
        <v>759</v>
      </c>
      <c r="E216" s="6">
        <f t="shared" si="3"/>
        <v>0</v>
      </c>
      <c r="F216" s="9" t="str" cm="1">
        <f t="array" ref="F216">_xlfn.LET( _xlpm.original, E216,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16" t="s">
        <v>1221</v>
      </c>
      <c r="H216" t="s">
        <v>1699</v>
      </c>
      <c r="J216" t="s">
        <v>759</v>
      </c>
      <c r="K216" t="s">
        <v>2087</v>
      </c>
      <c r="L216" t="s">
        <v>2487</v>
      </c>
    </row>
    <row r="217" spans="1:12" x14ac:dyDescent="0.25">
      <c r="A217" t="s">
        <v>128</v>
      </c>
      <c r="B217" t="s">
        <v>685</v>
      </c>
      <c r="C217" t="s">
        <v>761</v>
      </c>
      <c r="E217" s="6">
        <f t="shared" si="3"/>
        <v>0</v>
      </c>
      <c r="F217" s="9" t="str" cm="1">
        <f t="array" ref="F217">_xlfn.LET( _xlpm.original, E217,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17" t="s">
        <v>1307</v>
      </c>
      <c r="H217" t="s">
        <v>1713</v>
      </c>
      <c r="J217" t="s">
        <v>762</v>
      </c>
      <c r="K217" t="s">
        <v>2099</v>
      </c>
      <c r="L217" t="s">
        <v>2498</v>
      </c>
    </row>
    <row r="218" spans="1:12" x14ac:dyDescent="0.25">
      <c r="A218" t="s">
        <v>272</v>
      </c>
      <c r="B218" t="s">
        <v>696</v>
      </c>
      <c r="C218" t="s">
        <v>758</v>
      </c>
      <c r="E218" s="6">
        <f t="shared" si="3"/>
        <v>0</v>
      </c>
      <c r="F218" s="9" t="str" cm="1">
        <f t="array" ref="F218">_xlfn.LET( _xlpm.original, E218,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18" t="s">
        <v>1309</v>
      </c>
      <c r="H218" t="s">
        <v>1724</v>
      </c>
      <c r="J218" t="s">
        <v>762</v>
      </c>
      <c r="K218" t="s">
        <v>2099</v>
      </c>
      <c r="L218" t="s">
        <v>2508</v>
      </c>
    </row>
    <row r="219" spans="1:12" x14ac:dyDescent="0.25">
      <c r="A219" t="s">
        <v>271</v>
      </c>
      <c r="B219" t="s">
        <v>695</v>
      </c>
      <c r="C219" t="s">
        <v>758</v>
      </c>
      <c r="D219" t="s">
        <v>1120</v>
      </c>
      <c r="E219" s="6">
        <f t="shared" si="3"/>
        <v>276692900</v>
      </c>
      <c r="F219" s="9" t="str" cm="1">
        <f t="array" ref="F219">_xlfn.LET( _xlpm.original, E219,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027 669 2900</v>
      </c>
      <c r="H219" t="s">
        <v>1723</v>
      </c>
      <c r="J219" t="s">
        <v>769</v>
      </c>
      <c r="K219" t="s">
        <v>2104</v>
      </c>
      <c r="L219" t="s">
        <v>2507</v>
      </c>
    </row>
    <row r="220" spans="1:12" x14ac:dyDescent="0.25">
      <c r="A220" t="s">
        <v>7</v>
      </c>
      <c r="B220" t="s">
        <v>694</v>
      </c>
      <c r="C220" t="s">
        <v>758</v>
      </c>
      <c r="D220" t="s">
        <v>1119</v>
      </c>
      <c r="E220" s="6">
        <f t="shared" si="3"/>
        <v>211900374</v>
      </c>
      <c r="F220" s="9" t="str" cm="1">
        <f t="array" ref="F220">_xlfn.LET( _xlpm.original, E220,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021 190 0374</v>
      </c>
      <c r="G220" t="s">
        <v>1178</v>
      </c>
      <c r="H220" t="s">
        <v>1722</v>
      </c>
      <c r="J220" t="s">
        <v>1812</v>
      </c>
      <c r="K220" t="s">
        <v>2103</v>
      </c>
      <c r="L220" t="s">
        <v>2506</v>
      </c>
    </row>
    <row r="221" spans="1:12" x14ac:dyDescent="0.25">
      <c r="A221" t="s">
        <v>270</v>
      </c>
      <c r="B221" t="s">
        <v>693</v>
      </c>
      <c r="C221" t="s">
        <v>758</v>
      </c>
      <c r="D221" t="s">
        <v>1118</v>
      </c>
      <c r="E221" s="6">
        <f t="shared" si="3"/>
        <v>272658516</v>
      </c>
      <c r="F221" s="9" t="str" cm="1">
        <f t="array" ref="F221">_xlfn.LET( _xlpm.original, E221,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027 265 8516</v>
      </c>
      <c r="H221" t="s">
        <v>1721</v>
      </c>
      <c r="J221" t="s">
        <v>762</v>
      </c>
      <c r="K221" t="s">
        <v>2102</v>
      </c>
      <c r="L221" t="s">
        <v>2505</v>
      </c>
    </row>
    <row r="222" spans="1:12" x14ac:dyDescent="0.25">
      <c r="A222" t="s">
        <v>269</v>
      </c>
      <c r="B222" t="s">
        <v>692</v>
      </c>
      <c r="C222" t="s">
        <v>758</v>
      </c>
      <c r="D222" t="s">
        <v>1117</v>
      </c>
      <c r="E222" s="6">
        <f t="shared" si="3"/>
        <v>274243055</v>
      </c>
      <c r="F222" s="9" t="str" cm="1">
        <f t="array" ref="F222">_xlfn.LET( _xlpm.original, E222,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027 424 3055</v>
      </c>
      <c r="H222" t="s">
        <v>1720</v>
      </c>
      <c r="J222" t="s">
        <v>758</v>
      </c>
      <c r="K222" t="s">
        <v>2101</v>
      </c>
      <c r="L222" t="s">
        <v>2504</v>
      </c>
    </row>
    <row r="223" spans="1:12" x14ac:dyDescent="0.25">
      <c r="A223" t="s">
        <v>268</v>
      </c>
      <c r="B223" t="s">
        <v>268</v>
      </c>
      <c r="C223" t="s">
        <v>758</v>
      </c>
      <c r="D223" t="s">
        <v>1116</v>
      </c>
      <c r="E223" s="6">
        <f t="shared" si="3"/>
        <v>274730114</v>
      </c>
      <c r="F223" s="9" t="str" cm="1">
        <f t="array" ref="F223">_xlfn.LET( _xlpm.original, E223,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027 473 0114</v>
      </c>
      <c r="J223" t="s">
        <v>1786</v>
      </c>
      <c r="K223" t="s">
        <v>2101</v>
      </c>
      <c r="L223" t="s">
        <v>2503</v>
      </c>
    </row>
    <row r="224" spans="1:12" x14ac:dyDescent="0.25">
      <c r="A224" t="s">
        <v>267</v>
      </c>
      <c r="B224" t="s">
        <v>691</v>
      </c>
      <c r="C224" t="s">
        <v>758</v>
      </c>
      <c r="D224" t="s">
        <v>1115</v>
      </c>
      <c r="E224" s="6">
        <f t="shared" si="3"/>
        <v>21303622</v>
      </c>
      <c r="F224" s="9" t="str" cm="1">
        <f t="array" ref="F224">_xlfn.LET( _xlpm.original, E224,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021 303 622</v>
      </c>
      <c r="H224" t="s">
        <v>1719</v>
      </c>
      <c r="J224" t="s">
        <v>1786</v>
      </c>
      <c r="K224" t="s">
        <v>2101</v>
      </c>
      <c r="L224" t="s">
        <v>2008</v>
      </c>
    </row>
    <row r="225" spans="1:12" x14ac:dyDescent="0.25">
      <c r="A225" t="s">
        <v>114</v>
      </c>
      <c r="B225" t="s">
        <v>690</v>
      </c>
      <c r="C225" t="s">
        <v>758</v>
      </c>
      <c r="D225" t="s">
        <v>1114</v>
      </c>
      <c r="E225" s="6">
        <f t="shared" si="3"/>
        <v>274985601</v>
      </c>
      <c r="F225" s="9" t="str" cm="1">
        <f t="array" ref="F225">_xlfn.LET( _xlpm.original, E225,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027 498 5601</v>
      </c>
      <c r="G225" t="s">
        <v>1308</v>
      </c>
      <c r="H225" t="s">
        <v>1718</v>
      </c>
      <c r="J225" t="s">
        <v>768</v>
      </c>
      <c r="K225" t="s">
        <v>2101</v>
      </c>
      <c r="L225" t="s">
        <v>2105</v>
      </c>
    </row>
    <row r="226" spans="1:12" x14ac:dyDescent="0.25">
      <c r="A226" t="s">
        <v>266</v>
      </c>
      <c r="B226" t="s">
        <v>689</v>
      </c>
      <c r="C226" t="s">
        <v>758</v>
      </c>
      <c r="D226" t="s">
        <v>1113</v>
      </c>
      <c r="E226" s="6">
        <f t="shared" si="3"/>
        <v>212065635</v>
      </c>
      <c r="F226" s="9" t="str" cm="1">
        <f t="array" ref="F226">_xlfn.LET( _xlpm.original, E226,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021 206 5635</v>
      </c>
      <c r="H226" t="s">
        <v>1717</v>
      </c>
      <c r="J226" t="s">
        <v>1790</v>
      </c>
      <c r="K226" t="s">
        <v>2100</v>
      </c>
      <c r="L226" t="s">
        <v>2502</v>
      </c>
    </row>
    <row r="227" spans="1:12" x14ac:dyDescent="0.25">
      <c r="A227" t="s">
        <v>265</v>
      </c>
      <c r="B227" t="s">
        <v>688</v>
      </c>
      <c r="C227" t="s">
        <v>758</v>
      </c>
      <c r="D227" t="s">
        <v>1112</v>
      </c>
      <c r="E227" s="6">
        <f t="shared" si="3"/>
        <v>212065635</v>
      </c>
      <c r="F227" s="9" t="str" cm="1">
        <f t="array" ref="F227">_xlfn.LET( _xlpm.original, E227,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021 206 5635</v>
      </c>
      <c r="H227" t="s">
        <v>1716</v>
      </c>
      <c r="J227" t="s">
        <v>762</v>
      </c>
      <c r="K227" t="s">
        <v>2100</v>
      </c>
      <c r="L227" t="s">
        <v>2501</v>
      </c>
    </row>
    <row r="228" spans="1:12" x14ac:dyDescent="0.25">
      <c r="A228" t="s">
        <v>264</v>
      </c>
      <c r="B228" t="s">
        <v>687</v>
      </c>
      <c r="C228" t="s">
        <v>758</v>
      </c>
      <c r="D228" t="s">
        <v>1111</v>
      </c>
      <c r="E228" s="6">
        <f t="shared" si="3"/>
        <v>21522500</v>
      </c>
      <c r="F228" s="9" t="str" cm="1">
        <f t="array" ref="F228">_xlfn.LET( _xlpm.original, E228,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021 522 500</v>
      </c>
      <c r="H228" t="s">
        <v>1715</v>
      </c>
      <c r="J228" t="s">
        <v>769</v>
      </c>
      <c r="K228" t="s">
        <v>2098</v>
      </c>
      <c r="L228" t="s">
        <v>2500</v>
      </c>
    </row>
    <row r="229" spans="1:12" x14ac:dyDescent="0.25">
      <c r="A229" t="s">
        <v>63</v>
      </c>
      <c r="B229" t="s">
        <v>686</v>
      </c>
      <c r="C229" t="s">
        <v>758</v>
      </c>
      <c r="D229" t="s">
        <v>1110</v>
      </c>
      <c r="E229" s="6">
        <f t="shared" si="3"/>
        <v>211754135</v>
      </c>
      <c r="F229" s="9" t="str" cm="1">
        <f t="array" ref="F229">_xlfn.LET( _xlpm.original, E229,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021 175 4135</v>
      </c>
      <c r="H229" t="s">
        <v>1714</v>
      </c>
      <c r="J229" t="s">
        <v>762</v>
      </c>
      <c r="K229" t="s">
        <v>2098</v>
      </c>
      <c r="L229" t="s">
        <v>2499</v>
      </c>
    </row>
    <row r="230" spans="1:12" x14ac:dyDescent="0.25">
      <c r="A230" t="s">
        <v>263</v>
      </c>
      <c r="B230" t="s">
        <v>684</v>
      </c>
      <c r="C230" t="s">
        <v>758</v>
      </c>
      <c r="D230" t="s">
        <v>1109</v>
      </c>
      <c r="E230" s="6">
        <f t="shared" si="3"/>
        <v>21407114</v>
      </c>
      <c r="F230" s="9" t="str" cm="1">
        <f t="array" ref="F230">_xlfn.LET( _xlpm.original, E230,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021 407 114</v>
      </c>
      <c r="H230" t="s">
        <v>1712</v>
      </c>
      <c r="J230" t="s">
        <v>769</v>
      </c>
      <c r="K230" t="s">
        <v>2098</v>
      </c>
      <c r="L230" t="s">
        <v>2497</v>
      </c>
    </row>
    <row r="231" spans="1:12" x14ac:dyDescent="0.25">
      <c r="A231" t="s">
        <v>121</v>
      </c>
      <c r="B231" t="s">
        <v>674</v>
      </c>
      <c r="C231" t="s">
        <v>758</v>
      </c>
      <c r="D231" t="s">
        <v>1099</v>
      </c>
      <c r="E231" s="6">
        <f t="shared" si="3"/>
        <v>2108180857</v>
      </c>
      <c r="F231" s="9" t="str" cm="1">
        <f t="array" ref="F231">_xlfn.LET( _xlpm.original, E231,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210 818 0857</v>
      </c>
      <c r="G231" t="s">
        <v>1302</v>
      </c>
      <c r="H231" t="s">
        <v>1700</v>
      </c>
      <c r="J231" t="s">
        <v>762</v>
      </c>
      <c r="K231" t="s">
        <v>2088</v>
      </c>
      <c r="L231" t="s">
        <v>2488</v>
      </c>
    </row>
    <row r="232" spans="1:12" x14ac:dyDescent="0.25">
      <c r="A232" t="s">
        <v>262</v>
      </c>
      <c r="B232" t="s">
        <v>683</v>
      </c>
      <c r="C232" t="s">
        <v>761</v>
      </c>
      <c r="E232" s="6">
        <f t="shared" si="3"/>
        <v>0</v>
      </c>
      <c r="F232" s="9" t="str" cm="1">
        <f t="array" ref="F232">_xlfn.LET( _xlpm.original, E232,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232" t="s">
        <v>1711</v>
      </c>
      <c r="J232" t="s">
        <v>1807</v>
      </c>
      <c r="K232" t="s">
        <v>2097</v>
      </c>
      <c r="L232" t="s">
        <v>2496</v>
      </c>
    </row>
    <row r="233" spans="1:12" x14ac:dyDescent="0.25">
      <c r="A233" t="s">
        <v>14</v>
      </c>
      <c r="B233" t="s">
        <v>682</v>
      </c>
      <c r="C233" t="s">
        <v>758</v>
      </c>
      <c r="D233" t="s">
        <v>1108</v>
      </c>
      <c r="E233" s="6">
        <f t="shared" si="3"/>
        <v>2102521524</v>
      </c>
      <c r="F233" s="9" t="str" cm="1">
        <f t="array" ref="F233">_xlfn.LET( _xlpm.original, E233,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210 252 1524</v>
      </c>
      <c r="H233" t="s">
        <v>1710</v>
      </c>
      <c r="J233" t="s">
        <v>1788</v>
      </c>
      <c r="K233" t="s">
        <v>2096</v>
      </c>
      <c r="L233" t="s">
        <v>2495</v>
      </c>
    </row>
    <row r="234" spans="1:12" x14ac:dyDescent="0.25">
      <c r="A234" t="s">
        <v>261</v>
      </c>
      <c r="B234" t="s">
        <v>261</v>
      </c>
      <c r="C234" t="s">
        <v>758</v>
      </c>
      <c r="D234" t="s">
        <v>1107</v>
      </c>
      <c r="E234" s="6">
        <f t="shared" si="3"/>
        <v>211030020</v>
      </c>
      <c r="F234" s="9" t="str" cm="1">
        <f t="array" ref="F234">_xlfn.LET( _xlpm.original, E234,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021 103 0020</v>
      </c>
      <c r="H234" t="s">
        <v>1709</v>
      </c>
      <c r="J234" t="s">
        <v>758</v>
      </c>
      <c r="K234" t="s">
        <v>2095</v>
      </c>
      <c r="L234" t="s">
        <v>2099</v>
      </c>
    </row>
    <row r="235" spans="1:12" x14ac:dyDescent="0.25">
      <c r="A235" t="s">
        <v>260</v>
      </c>
      <c r="B235" t="s">
        <v>681</v>
      </c>
      <c r="C235" t="s">
        <v>758</v>
      </c>
      <c r="D235" t="s">
        <v>1106</v>
      </c>
      <c r="E235" s="6">
        <f t="shared" si="3"/>
        <v>274848942</v>
      </c>
      <c r="F235" s="9" t="str" cm="1">
        <f t="array" ref="F235">_xlfn.LET( _xlpm.original, E235,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027 484 8942</v>
      </c>
      <c r="H235" t="s">
        <v>1708</v>
      </c>
      <c r="J235" t="s">
        <v>769</v>
      </c>
      <c r="K235" t="s">
        <v>2094</v>
      </c>
      <c r="L235" t="s">
        <v>2494</v>
      </c>
    </row>
    <row r="236" spans="1:12" x14ac:dyDescent="0.25">
      <c r="B236" t="s">
        <v>681</v>
      </c>
      <c r="C236" t="s">
        <v>758</v>
      </c>
      <c r="E236" s="6">
        <f t="shared" si="3"/>
        <v>0</v>
      </c>
      <c r="F236" s="9" t="str" cm="1">
        <f t="array" ref="F236">_xlfn.LET( _xlpm.original, E236,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36" t="s">
        <v>1306</v>
      </c>
      <c r="H236" t="s">
        <v>1708</v>
      </c>
      <c r="J236" t="s">
        <v>769</v>
      </c>
      <c r="K236" t="s">
        <v>2094</v>
      </c>
      <c r="L236" t="s">
        <v>2494</v>
      </c>
    </row>
    <row r="237" spans="1:12" x14ac:dyDescent="0.25">
      <c r="A237" t="s">
        <v>40</v>
      </c>
      <c r="B237" t="s">
        <v>680</v>
      </c>
      <c r="C237" t="s">
        <v>766</v>
      </c>
      <c r="E237" s="6">
        <f t="shared" si="3"/>
        <v>0</v>
      </c>
      <c r="F237" s="9" t="str" cm="1">
        <f t="array" ref="F237">_xlfn.LET( _xlpm.original, E237,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37" t="s">
        <v>1305</v>
      </c>
      <c r="H237" t="s">
        <v>1707</v>
      </c>
      <c r="J237" t="s">
        <v>766</v>
      </c>
      <c r="K237" t="s">
        <v>2093</v>
      </c>
      <c r="L237" t="s">
        <v>2227</v>
      </c>
    </row>
    <row r="238" spans="1:12" x14ac:dyDescent="0.25">
      <c r="A238" t="s">
        <v>259</v>
      </c>
      <c r="B238" t="s">
        <v>679</v>
      </c>
      <c r="C238" t="s">
        <v>758</v>
      </c>
      <c r="D238" t="s">
        <v>1105</v>
      </c>
      <c r="E238" s="6">
        <f t="shared" si="3"/>
        <v>212444776</v>
      </c>
      <c r="F238" s="9" t="str" cm="1">
        <f t="array" ref="F238">_xlfn.LET( _xlpm.original, E238,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021 244 4776</v>
      </c>
      <c r="H238" t="s">
        <v>1706</v>
      </c>
      <c r="J238" t="s">
        <v>1791</v>
      </c>
      <c r="K238" t="s">
        <v>2092</v>
      </c>
      <c r="L238" t="s">
        <v>2493</v>
      </c>
    </row>
    <row r="239" spans="1:12" x14ac:dyDescent="0.25">
      <c r="A239" t="s">
        <v>124</v>
      </c>
      <c r="B239" t="s">
        <v>678</v>
      </c>
      <c r="C239" t="s">
        <v>762</v>
      </c>
      <c r="D239" t="s">
        <v>1104</v>
      </c>
      <c r="E239" s="6">
        <f t="shared" si="3"/>
        <v>210700996</v>
      </c>
      <c r="F239" s="9" t="str" cm="1">
        <f t="array" ref="F239">_xlfn.LET( _xlpm.original, E239,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021 070 0996</v>
      </c>
      <c r="H239" t="s">
        <v>1705</v>
      </c>
      <c r="J239" t="s">
        <v>1790</v>
      </c>
      <c r="K239" t="s">
        <v>2091</v>
      </c>
      <c r="L239" t="s">
        <v>2492</v>
      </c>
    </row>
    <row r="240" spans="1:12" x14ac:dyDescent="0.25">
      <c r="A240" t="s">
        <v>258</v>
      </c>
      <c r="B240" t="s">
        <v>677</v>
      </c>
      <c r="C240" t="s">
        <v>758</v>
      </c>
      <c r="D240" t="s">
        <v>1103</v>
      </c>
      <c r="E240" s="6">
        <f t="shared" si="3"/>
        <v>21932666</v>
      </c>
      <c r="F240" s="9" t="str" cm="1">
        <f t="array" ref="F240">_xlfn.LET( _xlpm.original, E240,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021 932 666</v>
      </c>
      <c r="H240" t="s">
        <v>1704</v>
      </c>
      <c r="J240" t="s">
        <v>769</v>
      </c>
      <c r="K240" t="s">
        <v>2090</v>
      </c>
      <c r="L240" t="s">
        <v>2491</v>
      </c>
    </row>
    <row r="241" spans="1:12" x14ac:dyDescent="0.25">
      <c r="A241" t="s">
        <v>257</v>
      </c>
      <c r="B241" t="s">
        <v>676</v>
      </c>
      <c r="C241" t="s">
        <v>758</v>
      </c>
      <c r="D241" t="s">
        <v>1102</v>
      </c>
      <c r="E241" s="6">
        <f t="shared" si="3"/>
        <v>800166966</v>
      </c>
      <c r="F241" s="9" t="str" cm="1">
        <f t="array" ref="F241">_xlfn.LET( _xlpm.original, E241,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080 016 6966</v>
      </c>
      <c r="G241" t="s">
        <v>1304</v>
      </c>
      <c r="H241" t="s">
        <v>1703</v>
      </c>
      <c r="J241" t="s">
        <v>762</v>
      </c>
      <c r="K241" t="s">
        <v>2089</v>
      </c>
      <c r="L241" t="s">
        <v>1916</v>
      </c>
    </row>
    <row r="242" spans="1:12" x14ac:dyDescent="0.25">
      <c r="A242" t="s">
        <v>256</v>
      </c>
      <c r="B242" t="s">
        <v>675</v>
      </c>
      <c r="C242" t="s">
        <v>758</v>
      </c>
      <c r="D242" t="s">
        <v>1101</v>
      </c>
      <c r="E242" s="6">
        <f t="shared" si="3"/>
        <v>21926948</v>
      </c>
      <c r="F242" s="9" t="str" cm="1">
        <f t="array" ref="F242">_xlfn.LET( _xlpm.original, E242,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021 926 948</v>
      </c>
      <c r="G242" t="s">
        <v>1303</v>
      </c>
      <c r="H242" t="s">
        <v>1702</v>
      </c>
      <c r="J242" t="s">
        <v>769</v>
      </c>
      <c r="K242" t="s">
        <v>2065</v>
      </c>
      <c r="L242" t="s">
        <v>2490</v>
      </c>
    </row>
    <row r="243" spans="1:12" x14ac:dyDescent="0.25">
      <c r="A243" t="s">
        <v>255</v>
      </c>
      <c r="B243" t="s">
        <v>255</v>
      </c>
      <c r="C243" t="s">
        <v>758</v>
      </c>
      <c r="D243" t="s">
        <v>1100</v>
      </c>
      <c r="E243" s="6">
        <f t="shared" si="3"/>
        <v>2108509482</v>
      </c>
      <c r="F243" s="9" t="str" cm="1">
        <f t="array" ref="F243">_xlfn.LET( _xlpm.original, E243,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210 850 9482</v>
      </c>
      <c r="H243" t="s">
        <v>1701</v>
      </c>
      <c r="J243" t="s">
        <v>1786</v>
      </c>
      <c r="K243" t="s">
        <v>2065</v>
      </c>
      <c r="L243" t="s">
        <v>2489</v>
      </c>
    </row>
    <row r="244" spans="1:12" x14ac:dyDescent="0.25">
      <c r="A244" t="s">
        <v>234</v>
      </c>
      <c r="B244" t="s">
        <v>642</v>
      </c>
      <c r="C244" t="s">
        <v>758</v>
      </c>
      <c r="D244" t="s">
        <v>1073</v>
      </c>
      <c r="E244" s="6">
        <f t="shared" si="3"/>
        <v>225628458</v>
      </c>
      <c r="F244" s="9" t="str" cm="1">
        <f t="array" ref="F244">_xlfn.LET( _xlpm.original, E244,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022 562 8458</v>
      </c>
      <c r="G244" t="s">
        <v>1290</v>
      </c>
      <c r="H244" t="s">
        <v>1668</v>
      </c>
      <c r="J244" t="s">
        <v>769</v>
      </c>
      <c r="K244" t="s">
        <v>2065</v>
      </c>
      <c r="L244" t="s">
        <v>2463</v>
      </c>
    </row>
    <row r="245" spans="1:12" x14ac:dyDescent="0.25">
      <c r="A245" t="s">
        <v>167</v>
      </c>
      <c r="B245" t="s">
        <v>529</v>
      </c>
      <c r="C245" t="s">
        <v>758</v>
      </c>
      <c r="D245" t="s">
        <v>971</v>
      </c>
      <c r="E245" s="6">
        <f t="shared" si="3"/>
        <v>21934549</v>
      </c>
      <c r="F245" s="9" t="str" cm="1">
        <f t="array" ref="F245">_xlfn.LET( _xlpm.original, E245,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021 934 549</v>
      </c>
      <c r="H245" t="s">
        <v>1554</v>
      </c>
      <c r="J245" t="s">
        <v>1797</v>
      </c>
      <c r="K245" t="s">
        <v>1981</v>
      </c>
      <c r="L245" t="s">
        <v>2281</v>
      </c>
    </row>
    <row r="246" spans="1:12" x14ac:dyDescent="0.25">
      <c r="A246" t="s">
        <v>166</v>
      </c>
      <c r="B246" t="s">
        <v>528</v>
      </c>
      <c r="C246" t="s">
        <v>758</v>
      </c>
      <c r="D246" t="s">
        <v>970</v>
      </c>
      <c r="E246" s="6">
        <f t="shared" si="3"/>
        <v>211680689</v>
      </c>
      <c r="F246" s="9" t="str" cm="1">
        <f t="array" ref="F246">_xlfn.LET( _xlpm.original, E246,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021 168 0689</v>
      </c>
      <c r="H246" t="s">
        <v>1553</v>
      </c>
      <c r="J246" t="s">
        <v>1786</v>
      </c>
      <c r="K246" t="s">
        <v>1980</v>
      </c>
      <c r="L246" t="s">
        <v>2360</v>
      </c>
    </row>
    <row r="247" spans="1:12" x14ac:dyDescent="0.25">
      <c r="A247" t="s">
        <v>165</v>
      </c>
      <c r="B247" t="s">
        <v>165</v>
      </c>
      <c r="C247" t="s">
        <v>758</v>
      </c>
      <c r="D247" t="s">
        <v>969</v>
      </c>
      <c r="E247" s="6">
        <f t="shared" si="3"/>
        <v>211215964</v>
      </c>
      <c r="F247" s="9" t="str" cm="1">
        <f t="array" ref="F247">_xlfn.LET( _xlpm.original, E247,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021 121 5964</v>
      </c>
      <c r="H247" t="s">
        <v>1552</v>
      </c>
      <c r="J247" t="s">
        <v>1786</v>
      </c>
      <c r="K247" t="s">
        <v>1979</v>
      </c>
      <c r="L247" t="s">
        <v>2359</v>
      </c>
    </row>
    <row r="248" spans="1:12" x14ac:dyDescent="0.25">
      <c r="B248" t="s">
        <v>391</v>
      </c>
      <c r="C248" t="s">
        <v>759</v>
      </c>
      <c r="D248" t="s">
        <v>845</v>
      </c>
      <c r="E248" s="6">
        <f t="shared" si="3"/>
        <v>21435305</v>
      </c>
      <c r="F248" s="9" t="str" cm="1">
        <f t="array" ref="F248">_xlfn.LET( _xlpm.original, E248,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021 435 305</v>
      </c>
      <c r="G248" t="s">
        <v>1215</v>
      </c>
      <c r="H248" t="s">
        <v>1410</v>
      </c>
      <c r="J248" t="s">
        <v>759</v>
      </c>
      <c r="K248" t="s">
        <v>1869</v>
      </c>
      <c r="L248" t="s">
        <v>2229</v>
      </c>
    </row>
    <row r="249" spans="1:12" x14ac:dyDescent="0.25">
      <c r="A249" t="s">
        <v>71</v>
      </c>
      <c r="B249" t="s">
        <v>390</v>
      </c>
      <c r="C249" t="s">
        <v>758</v>
      </c>
      <c r="D249" t="s">
        <v>844</v>
      </c>
      <c r="E249" s="6">
        <f t="shared" si="3"/>
        <v>21762454</v>
      </c>
      <c r="F249" s="9" t="str" cm="1">
        <f t="array" ref="F249">_xlfn.LET( _xlpm.original, E249,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021 762 454</v>
      </c>
      <c r="G249" t="s">
        <v>1214</v>
      </c>
      <c r="H249" t="s">
        <v>1409</v>
      </c>
      <c r="J249" t="s">
        <v>769</v>
      </c>
      <c r="K249" t="s">
        <v>1868</v>
      </c>
      <c r="L249" t="s">
        <v>2228</v>
      </c>
    </row>
    <row r="250" spans="1:12" x14ac:dyDescent="0.25">
      <c r="A250" t="s">
        <v>70</v>
      </c>
      <c r="B250" t="s">
        <v>389</v>
      </c>
      <c r="C250" t="s">
        <v>758</v>
      </c>
      <c r="D250" t="s">
        <v>843</v>
      </c>
      <c r="E250" s="6">
        <f t="shared" si="3"/>
        <v>276195084</v>
      </c>
      <c r="F250" s="9" t="str" cm="1">
        <f t="array" ref="F250">_xlfn.LET( _xlpm.original, E250,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027 619 5084</v>
      </c>
      <c r="H250" t="s">
        <v>1408</v>
      </c>
      <c r="J250" t="s">
        <v>762</v>
      </c>
      <c r="K250" t="s">
        <v>1867</v>
      </c>
      <c r="L250" t="s">
        <v>2227</v>
      </c>
    </row>
    <row r="251" spans="1:12" x14ac:dyDescent="0.25">
      <c r="A251" t="s">
        <v>69</v>
      </c>
      <c r="B251" t="s">
        <v>389</v>
      </c>
      <c r="C251" t="s">
        <v>758</v>
      </c>
      <c r="D251" t="s">
        <v>842</v>
      </c>
      <c r="E251" s="6">
        <f t="shared" si="3"/>
        <v>272127632</v>
      </c>
      <c r="F251" s="9" t="str" cm="1">
        <f t="array" ref="F251">_xlfn.LET( _xlpm.original, E251,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027 212 7632</v>
      </c>
      <c r="G251" t="s">
        <v>1142</v>
      </c>
      <c r="H251" t="s">
        <v>1407</v>
      </c>
      <c r="J251" t="s">
        <v>762</v>
      </c>
      <c r="K251" t="s">
        <v>1867</v>
      </c>
      <c r="L251" t="s">
        <v>2227</v>
      </c>
    </row>
    <row r="252" spans="1:12" x14ac:dyDescent="0.25">
      <c r="A252" t="s">
        <v>68</v>
      </c>
      <c r="B252" t="s">
        <v>388</v>
      </c>
      <c r="C252" t="s">
        <v>758</v>
      </c>
      <c r="D252" t="s">
        <v>841</v>
      </c>
      <c r="E252" s="6">
        <f t="shared" si="3"/>
        <v>284374296</v>
      </c>
      <c r="F252" s="9" t="str" cm="1">
        <f t="array" ref="F252">_xlfn.LET( _xlpm.original, E252,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028 437 4296</v>
      </c>
      <c r="G252" t="s">
        <v>1213</v>
      </c>
      <c r="H252" t="s">
        <v>1406</v>
      </c>
      <c r="J252" t="s">
        <v>762</v>
      </c>
      <c r="K252" t="s">
        <v>1866</v>
      </c>
      <c r="L252" t="s">
        <v>2226</v>
      </c>
    </row>
    <row r="253" spans="1:12" x14ac:dyDescent="0.25">
      <c r="A253" t="s">
        <v>22</v>
      </c>
      <c r="B253" t="s">
        <v>387</v>
      </c>
      <c r="C253" t="s">
        <v>758</v>
      </c>
      <c r="D253" t="s">
        <v>840</v>
      </c>
      <c r="E253" s="6">
        <f t="shared" si="3"/>
        <v>2102686087</v>
      </c>
      <c r="F253" s="9" t="str" cm="1">
        <f t="array" ref="F253">_xlfn.LET( _xlpm.original, E253,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210 268 6087</v>
      </c>
      <c r="H253" t="s">
        <v>1405</v>
      </c>
      <c r="J253" t="s">
        <v>1789</v>
      </c>
      <c r="K253" t="s">
        <v>1865</v>
      </c>
      <c r="L253" t="s">
        <v>2225</v>
      </c>
    </row>
    <row r="254" spans="1:12" x14ac:dyDescent="0.25">
      <c r="A254" t="s">
        <v>29</v>
      </c>
      <c r="B254" t="s">
        <v>386</v>
      </c>
      <c r="C254" t="s">
        <v>758</v>
      </c>
      <c r="D254" t="s">
        <v>839</v>
      </c>
      <c r="E254" s="6">
        <f t="shared" si="3"/>
        <v>21993508</v>
      </c>
      <c r="F254" s="9" t="str" cm="1">
        <f t="array" ref="F254">_xlfn.LET( _xlpm.original, E254,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021 993 508</v>
      </c>
      <c r="G254" t="s">
        <v>1189</v>
      </c>
      <c r="H254" t="s">
        <v>1404</v>
      </c>
      <c r="J254" t="s">
        <v>1791</v>
      </c>
      <c r="K254" t="s">
        <v>1864</v>
      </c>
      <c r="L254" t="s">
        <v>2224</v>
      </c>
    </row>
    <row r="255" spans="1:12" x14ac:dyDescent="0.25">
      <c r="A255" t="s">
        <v>67</v>
      </c>
      <c r="B255" t="s">
        <v>385</v>
      </c>
      <c r="C255" t="s">
        <v>758</v>
      </c>
      <c r="D255" t="s">
        <v>838</v>
      </c>
      <c r="E255" s="6">
        <f t="shared" si="3"/>
        <v>21776062</v>
      </c>
      <c r="F255" s="9" t="str" cm="1">
        <f t="array" ref="F255">_xlfn.LET( _xlpm.original, E255,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021 776 062</v>
      </c>
      <c r="G255" t="s">
        <v>1212</v>
      </c>
      <c r="H255" t="s">
        <v>1403</v>
      </c>
      <c r="J255" t="s">
        <v>769</v>
      </c>
      <c r="K255" t="s">
        <v>1864</v>
      </c>
      <c r="L255" t="s">
        <v>2165</v>
      </c>
    </row>
    <row r="256" spans="1:12" x14ac:dyDescent="0.25">
      <c r="A256" t="s">
        <v>66</v>
      </c>
      <c r="B256" t="s">
        <v>384</v>
      </c>
      <c r="C256" t="s">
        <v>758</v>
      </c>
      <c r="D256" t="s">
        <v>837</v>
      </c>
      <c r="E256" s="6">
        <f t="shared" si="3"/>
        <v>21740380</v>
      </c>
      <c r="F256" s="9" t="str" cm="1">
        <f t="array" ref="F256">_xlfn.LET( _xlpm.original, E256,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021 740 380</v>
      </c>
      <c r="G256" t="s">
        <v>1211</v>
      </c>
      <c r="H256" t="s">
        <v>1402</v>
      </c>
      <c r="J256" t="s">
        <v>759</v>
      </c>
      <c r="K256" t="s">
        <v>1863</v>
      </c>
      <c r="L256" t="s">
        <v>2223</v>
      </c>
    </row>
    <row r="257" spans="1:12" x14ac:dyDescent="0.25">
      <c r="A257" t="s">
        <v>65</v>
      </c>
      <c r="B257" t="s">
        <v>383</v>
      </c>
      <c r="C257" t="s">
        <v>759</v>
      </c>
      <c r="D257" t="s">
        <v>836</v>
      </c>
      <c r="E257" s="6">
        <f t="shared" si="3"/>
        <v>21841754</v>
      </c>
      <c r="F257" s="9" t="str" cm="1">
        <f t="array" ref="F257">_xlfn.LET( _xlpm.original, E257,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021 841 754</v>
      </c>
      <c r="H257" t="s">
        <v>1401</v>
      </c>
      <c r="J257" t="s">
        <v>759</v>
      </c>
      <c r="K257" t="s">
        <v>1863</v>
      </c>
      <c r="L257" t="s">
        <v>2222</v>
      </c>
    </row>
    <row r="258" spans="1:12" x14ac:dyDescent="0.25">
      <c r="A258" t="s">
        <v>64</v>
      </c>
      <c r="B258" t="s">
        <v>382</v>
      </c>
      <c r="C258" t="s">
        <v>758</v>
      </c>
      <c r="D258" t="s">
        <v>835</v>
      </c>
      <c r="E258" s="6">
        <f t="shared" si="3"/>
        <v>21842569</v>
      </c>
      <c r="F258" s="9" t="str" cm="1">
        <f t="array" ref="F258">_xlfn.LET( _xlpm.original, E258,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021 842 569</v>
      </c>
      <c r="G258" t="s">
        <v>1210</v>
      </c>
      <c r="H258" t="s">
        <v>1400</v>
      </c>
      <c r="J258" t="s">
        <v>1786</v>
      </c>
      <c r="K258" t="s">
        <v>1862</v>
      </c>
      <c r="L258" t="s">
        <v>2221</v>
      </c>
    </row>
    <row r="259" spans="1:12" x14ac:dyDescent="0.25">
      <c r="A259" t="s">
        <v>12</v>
      </c>
      <c r="B259" t="s">
        <v>381</v>
      </c>
      <c r="C259" t="s">
        <v>758</v>
      </c>
      <c r="D259" t="s">
        <v>834</v>
      </c>
      <c r="E259" s="6">
        <f t="shared" si="3"/>
        <v>273217685</v>
      </c>
      <c r="F259" s="9" t="str" cm="1">
        <f t="array" ref="F259">_xlfn.LET( _xlpm.original, E259,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027 321 7685</v>
      </c>
      <c r="G259" t="s">
        <v>1209</v>
      </c>
      <c r="H259" t="s">
        <v>1399</v>
      </c>
      <c r="J259" t="s">
        <v>762</v>
      </c>
      <c r="K259" t="s">
        <v>1861</v>
      </c>
      <c r="L259" t="s">
        <v>2220</v>
      </c>
    </row>
    <row r="260" spans="1:12" x14ac:dyDescent="0.25">
      <c r="A260" t="s">
        <v>63</v>
      </c>
      <c r="B260" t="s">
        <v>380</v>
      </c>
      <c r="C260" t="s">
        <v>758</v>
      </c>
      <c r="D260" t="s">
        <v>833</v>
      </c>
      <c r="E260" s="6">
        <f t="shared" ref="E260:E323" si="4">_xlfn.NUMBERVALUE(D260)</f>
        <v>274044067</v>
      </c>
      <c r="F260" s="9" t="str" cm="1">
        <f t="array" ref="F260">_xlfn.LET( _xlpm.original, E260,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027 404 4067</v>
      </c>
      <c r="H260" t="s">
        <v>1398</v>
      </c>
      <c r="J260" t="s">
        <v>758</v>
      </c>
      <c r="K260" t="s">
        <v>1861</v>
      </c>
      <c r="L260" t="s">
        <v>2219</v>
      </c>
    </row>
    <row r="261" spans="1:12" x14ac:dyDescent="0.25">
      <c r="A261" t="s">
        <v>62</v>
      </c>
      <c r="B261" t="s">
        <v>379</v>
      </c>
      <c r="C261" t="s">
        <v>759</v>
      </c>
      <c r="D261" t="s">
        <v>832</v>
      </c>
      <c r="E261" s="6">
        <f t="shared" si="4"/>
        <v>21542374</v>
      </c>
      <c r="F261" s="9" t="str" cm="1">
        <f t="array" ref="F261">_xlfn.LET( _xlpm.original, E261,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021 542 374</v>
      </c>
      <c r="G261" t="s">
        <v>1208</v>
      </c>
      <c r="H261" t="s">
        <v>1397</v>
      </c>
      <c r="J261" t="s">
        <v>759</v>
      </c>
      <c r="K261" t="s">
        <v>1860</v>
      </c>
      <c r="L261" t="s">
        <v>2218</v>
      </c>
    </row>
    <row r="262" spans="1:12" x14ac:dyDescent="0.25">
      <c r="A262" t="s">
        <v>50</v>
      </c>
      <c r="B262" t="s">
        <v>378</v>
      </c>
      <c r="C262" t="s">
        <v>762</v>
      </c>
      <c r="E262" s="6">
        <f t="shared" si="4"/>
        <v>0</v>
      </c>
      <c r="F262" s="9" t="str" cm="1">
        <f t="array" ref="F262">_xlfn.LET( _xlpm.original, E262,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62" t="s">
        <v>1207</v>
      </c>
      <c r="H262" t="s">
        <v>1396</v>
      </c>
      <c r="J262" t="s">
        <v>762</v>
      </c>
      <c r="K262" t="s">
        <v>1860</v>
      </c>
      <c r="L262" t="s">
        <v>2217</v>
      </c>
    </row>
    <row r="263" spans="1:12" x14ac:dyDescent="0.25">
      <c r="A263" t="s">
        <v>32</v>
      </c>
      <c r="B263" t="s">
        <v>377</v>
      </c>
      <c r="C263" t="s">
        <v>758</v>
      </c>
      <c r="D263" t="s">
        <v>831</v>
      </c>
      <c r="E263" s="6">
        <f t="shared" si="4"/>
        <v>272298561</v>
      </c>
      <c r="F263" s="9" t="str" cm="1">
        <f t="array" ref="F263">_xlfn.LET( _xlpm.original, E263,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027 229 8561</v>
      </c>
      <c r="H263" t="s">
        <v>1395</v>
      </c>
      <c r="J263" t="s">
        <v>759</v>
      </c>
      <c r="K263" t="s">
        <v>1859</v>
      </c>
      <c r="L263" t="s">
        <v>2216</v>
      </c>
    </row>
    <row r="264" spans="1:12" x14ac:dyDescent="0.25">
      <c r="B264" t="s">
        <v>376</v>
      </c>
      <c r="C264" t="s">
        <v>758</v>
      </c>
      <c r="D264" t="s">
        <v>830</v>
      </c>
      <c r="E264" s="6">
        <f t="shared" si="4"/>
        <v>21711194</v>
      </c>
      <c r="F264" s="9" t="str" cm="1">
        <f t="array" ref="F264">_xlfn.LET( _xlpm.original, E264,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021 711 194</v>
      </c>
      <c r="H264" t="s">
        <v>1394</v>
      </c>
      <c r="J264" t="s">
        <v>769</v>
      </c>
      <c r="K264" t="s">
        <v>1858</v>
      </c>
      <c r="L264" t="s">
        <v>2215</v>
      </c>
    </row>
    <row r="265" spans="1:12" x14ac:dyDescent="0.25">
      <c r="A265" t="s">
        <v>61</v>
      </c>
      <c r="B265" t="s">
        <v>375</v>
      </c>
      <c r="C265" t="s">
        <v>758</v>
      </c>
      <c r="E265" s="6">
        <f t="shared" si="4"/>
        <v>0</v>
      </c>
      <c r="F265" s="9" t="str" cm="1">
        <f t="array" ref="F265">_xlfn.LET( _xlpm.original, E265,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265" t="s">
        <v>1393</v>
      </c>
      <c r="J265" t="s">
        <v>769</v>
      </c>
      <c r="K265" t="s">
        <v>1858</v>
      </c>
      <c r="L265" t="s">
        <v>2214</v>
      </c>
    </row>
    <row r="266" spans="1:12" x14ac:dyDescent="0.25">
      <c r="A266" t="s">
        <v>25</v>
      </c>
      <c r="B266" t="s">
        <v>374</v>
      </c>
      <c r="C266" t="s">
        <v>758</v>
      </c>
      <c r="D266" t="s">
        <v>829</v>
      </c>
      <c r="E266" s="6">
        <f t="shared" si="4"/>
        <v>21313091</v>
      </c>
      <c r="F266" s="9" t="str" cm="1">
        <f t="array" ref="F266">_xlfn.LET( _xlpm.original, E266,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021 313 091</v>
      </c>
      <c r="H266" t="s">
        <v>1392</v>
      </c>
      <c r="J266" t="s">
        <v>1790</v>
      </c>
      <c r="K266" t="s">
        <v>1858</v>
      </c>
      <c r="L266" t="s">
        <v>2085</v>
      </c>
    </row>
    <row r="267" spans="1:12" x14ac:dyDescent="0.25">
      <c r="A267" t="s">
        <v>17</v>
      </c>
      <c r="B267" t="s">
        <v>373</v>
      </c>
      <c r="C267" t="s">
        <v>762</v>
      </c>
      <c r="D267" t="s">
        <v>828</v>
      </c>
      <c r="E267" s="6">
        <f t="shared" si="4"/>
        <v>226465455</v>
      </c>
      <c r="F267" s="9" t="str" cm="1">
        <f t="array" ref="F267">_xlfn.LET( _xlpm.original, E267,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022 646 5455</v>
      </c>
      <c r="G267" t="s">
        <v>1206</v>
      </c>
      <c r="H267" t="s">
        <v>1391</v>
      </c>
      <c r="J267" t="s">
        <v>762</v>
      </c>
      <c r="K267" t="s">
        <v>1857</v>
      </c>
      <c r="L267" t="s">
        <v>2213</v>
      </c>
    </row>
    <row r="268" spans="1:12" x14ac:dyDescent="0.25">
      <c r="A268" t="s">
        <v>18</v>
      </c>
      <c r="B268" t="s">
        <v>372</v>
      </c>
      <c r="C268" t="s">
        <v>758</v>
      </c>
      <c r="D268" t="s">
        <v>827</v>
      </c>
      <c r="E268" s="6">
        <f t="shared" si="4"/>
        <v>272651432</v>
      </c>
      <c r="F268" s="9" t="str" cm="1">
        <f t="array" ref="F268">_xlfn.LET( _xlpm.original, E268,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027 265 1432</v>
      </c>
      <c r="H268" t="s">
        <v>1390</v>
      </c>
      <c r="J268" t="s">
        <v>762</v>
      </c>
      <c r="K268" t="s">
        <v>1856</v>
      </c>
      <c r="L268" t="s">
        <v>2188</v>
      </c>
    </row>
    <row r="269" spans="1:12" x14ac:dyDescent="0.25">
      <c r="A269" t="s">
        <v>15</v>
      </c>
      <c r="B269" s="3" t="s">
        <v>371</v>
      </c>
      <c r="C269" t="s">
        <v>759</v>
      </c>
      <c r="D269" t="s">
        <v>826</v>
      </c>
      <c r="E269" s="6">
        <f t="shared" si="4"/>
        <v>2108768574</v>
      </c>
      <c r="F269" s="9" t="str" cm="1">
        <f t="array" ref="F269">_xlfn.LET( _xlpm.original, E269,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210 876 8574</v>
      </c>
      <c r="H269" t="s">
        <v>1389</v>
      </c>
      <c r="J269" t="s">
        <v>759</v>
      </c>
      <c r="K269" t="s">
        <v>1855</v>
      </c>
      <c r="L269" t="s">
        <v>2212</v>
      </c>
    </row>
    <row r="270" spans="1:12" x14ac:dyDescent="0.25">
      <c r="A270" t="s">
        <v>60</v>
      </c>
      <c r="B270" t="s">
        <v>370</v>
      </c>
      <c r="C270" t="s">
        <v>758</v>
      </c>
      <c r="D270" t="s">
        <v>825</v>
      </c>
      <c r="E270" s="6">
        <f t="shared" si="4"/>
        <v>272601149</v>
      </c>
      <c r="F270" s="9" t="str" cm="1">
        <f t="array" ref="F270">_xlfn.LET( _xlpm.original, E270,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027 260 1149</v>
      </c>
      <c r="G270" t="s">
        <v>1205</v>
      </c>
      <c r="H270" t="s">
        <v>1388</v>
      </c>
      <c r="J270" t="s">
        <v>1792</v>
      </c>
      <c r="K270" t="s">
        <v>1855</v>
      </c>
      <c r="L270" t="s">
        <v>2211</v>
      </c>
    </row>
    <row r="271" spans="1:12" x14ac:dyDescent="0.25">
      <c r="A271" t="s">
        <v>59</v>
      </c>
      <c r="B271" t="s">
        <v>59</v>
      </c>
      <c r="C271" t="s">
        <v>762</v>
      </c>
      <c r="D271" t="s">
        <v>824</v>
      </c>
      <c r="E271" s="6">
        <f t="shared" si="4"/>
        <v>275863933</v>
      </c>
      <c r="F271" s="9" t="str" cm="1">
        <f t="array" ref="F271">_xlfn.LET( _xlpm.original, E271,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027 586 3933</v>
      </c>
      <c r="G271" t="s">
        <v>1204</v>
      </c>
      <c r="H271" t="s">
        <v>1387</v>
      </c>
      <c r="J271" t="s">
        <v>762</v>
      </c>
      <c r="K271" t="s">
        <v>1854</v>
      </c>
      <c r="L271" t="s">
        <v>2210</v>
      </c>
    </row>
    <row r="272" spans="1:12" x14ac:dyDescent="0.25">
      <c r="A272" t="s">
        <v>58</v>
      </c>
      <c r="B272" t="s">
        <v>369</v>
      </c>
      <c r="C272" t="s">
        <v>758</v>
      </c>
      <c r="D272" t="s">
        <v>823</v>
      </c>
      <c r="E272" s="6">
        <f t="shared" si="4"/>
        <v>276472016</v>
      </c>
      <c r="F272" s="9" t="str" cm="1">
        <f t="array" ref="F272">_xlfn.LET( _xlpm.original, E272,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027 647 2016</v>
      </c>
      <c r="G272" t="s">
        <v>1203</v>
      </c>
      <c r="H272" t="s">
        <v>1386</v>
      </c>
      <c r="J272" t="s">
        <v>1796</v>
      </c>
      <c r="K272" t="s">
        <v>1853</v>
      </c>
      <c r="L272" t="s">
        <v>2209</v>
      </c>
    </row>
    <row r="273" spans="1:12" x14ac:dyDescent="0.25">
      <c r="A273" t="s">
        <v>57</v>
      </c>
      <c r="B273" t="s">
        <v>368</v>
      </c>
      <c r="C273" t="s">
        <v>758</v>
      </c>
      <c r="D273" t="s">
        <v>822</v>
      </c>
      <c r="E273" s="6">
        <f t="shared" si="4"/>
        <v>21475887</v>
      </c>
      <c r="F273" s="9" t="str" cm="1">
        <f t="array" ref="F273">_xlfn.LET( _xlpm.original, E273,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021 475 887</v>
      </c>
      <c r="G273" t="s">
        <v>1202</v>
      </c>
      <c r="H273" t="s">
        <v>1385</v>
      </c>
      <c r="J273" t="s">
        <v>1794</v>
      </c>
      <c r="K273" t="s">
        <v>1852</v>
      </c>
      <c r="L273" t="s">
        <v>2208</v>
      </c>
    </row>
    <row r="274" spans="1:12" x14ac:dyDescent="0.25">
      <c r="A274" t="s">
        <v>72</v>
      </c>
      <c r="B274" t="s">
        <v>392</v>
      </c>
      <c r="C274" t="s">
        <v>758</v>
      </c>
      <c r="D274" t="s">
        <v>846</v>
      </c>
      <c r="E274" s="6">
        <f t="shared" si="4"/>
        <v>21552411</v>
      </c>
      <c r="F274" s="9" t="str" cm="1">
        <f t="array" ref="F274">_xlfn.LET( _xlpm.original, E274,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021 552 411</v>
      </c>
      <c r="H274" t="s">
        <v>1411</v>
      </c>
      <c r="J274" t="s">
        <v>1788</v>
      </c>
      <c r="K274" t="s">
        <v>1870</v>
      </c>
      <c r="L274" t="s">
        <v>2230</v>
      </c>
    </row>
    <row r="275" spans="1:12" x14ac:dyDescent="0.25">
      <c r="A275" t="s">
        <v>73</v>
      </c>
      <c r="B275" t="s">
        <v>393</v>
      </c>
      <c r="C275" t="s">
        <v>758</v>
      </c>
      <c r="D275" t="s">
        <v>847</v>
      </c>
      <c r="E275" s="6">
        <f t="shared" si="4"/>
        <v>2102475010</v>
      </c>
      <c r="F275" s="9" t="str" cm="1">
        <f t="array" ref="F275">_xlfn.LET( _xlpm.original, E275,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210 247 5010</v>
      </c>
      <c r="H275" t="s">
        <v>1412</v>
      </c>
      <c r="J275" t="s">
        <v>1786</v>
      </c>
      <c r="K275" t="s">
        <v>1871</v>
      </c>
      <c r="L275" t="s">
        <v>2231</v>
      </c>
    </row>
    <row r="276" spans="1:12" x14ac:dyDescent="0.25">
      <c r="B276" t="s">
        <v>394</v>
      </c>
      <c r="C276" t="s">
        <v>759</v>
      </c>
      <c r="D276" t="s">
        <v>848</v>
      </c>
      <c r="E276" s="6">
        <f t="shared" si="4"/>
        <v>277059667</v>
      </c>
      <c r="F276" s="9" t="str" cm="1">
        <f t="array" ref="F276">_xlfn.LET( _xlpm.original, E276,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027 705 9667</v>
      </c>
      <c r="H276" t="s">
        <v>1413</v>
      </c>
      <c r="J276" t="s">
        <v>759</v>
      </c>
      <c r="K276" t="s">
        <v>1872</v>
      </c>
      <c r="L276" t="s">
        <v>2232</v>
      </c>
    </row>
    <row r="277" spans="1:12" x14ac:dyDescent="0.25">
      <c r="A277" t="s">
        <v>84</v>
      </c>
      <c r="B277" t="s">
        <v>406</v>
      </c>
      <c r="C277" t="s">
        <v>765</v>
      </c>
      <c r="D277" t="s">
        <v>861</v>
      </c>
      <c r="E277" s="6">
        <f t="shared" si="4"/>
        <v>220450077</v>
      </c>
      <c r="F277" s="9" t="str" cm="1">
        <f t="array" ref="F277">_xlfn.LET( _xlpm.original, E277,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022 045 0077</v>
      </c>
      <c r="H277" t="s">
        <v>1426</v>
      </c>
      <c r="J277" t="s">
        <v>1788</v>
      </c>
      <c r="K277" t="s">
        <v>1878</v>
      </c>
      <c r="L277" t="s">
        <v>2246</v>
      </c>
    </row>
    <row r="278" spans="1:12" x14ac:dyDescent="0.25">
      <c r="A278" t="s">
        <v>95</v>
      </c>
      <c r="B278" t="s">
        <v>418</v>
      </c>
      <c r="C278" t="s">
        <v>758</v>
      </c>
      <c r="D278" t="s">
        <v>872</v>
      </c>
      <c r="E278" s="6">
        <f t="shared" si="4"/>
        <v>272053158</v>
      </c>
      <c r="F278" s="9" t="str" cm="1">
        <f t="array" ref="F278">_xlfn.LET( _xlpm.original, E278,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027 205 3158</v>
      </c>
      <c r="H278" t="s">
        <v>1437</v>
      </c>
      <c r="J278" t="s">
        <v>769</v>
      </c>
      <c r="K278" t="s">
        <v>1887</v>
      </c>
      <c r="L278" t="s">
        <v>2257</v>
      </c>
    </row>
    <row r="279" spans="1:12" x14ac:dyDescent="0.25">
      <c r="A279" t="s">
        <v>94</v>
      </c>
      <c r="B279" t="s">
        <v>417</v>
      </c>
      <c r="C279" t="s">
        <v>758</v>
      </c>
      <c r="D279" t="s">
        <v>871</v>
      </c>
      <c r="E279" s="6">
        <f t="shared" si="4"/>
        <v>212596843</v>
      </c>
      <c r="F279" s="9" t="str" cm="1">
        <f t="array" ref="F279">_xlfn.LET( _xlpm.original, E279,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021 259 6843</v>
      </c>
      <c r="H279" t="s">
        <v>1436</v>
      </c>
      <c r="J279" t="s">
        <v>769</v>
      </c>
      <c r="K279" t="s">
        <v>1886</v>
      </c>
      <c r="L279" t="s">
        <v>2256</v>
      </c>
    </row>
    <row r="280" spans="1:12" x14ac:dyDescent="0.25">
      <c r="A280" t="s">
        <v>93</v>
      </c>
      <c r="B280" t="s">
        <v>416</v>
      </c>
      <c r="C280" t="s">
        <v>758</v>
      </c>
      <c r="D280" t="s">
        <v>870</v>
      </c>
      <c r="E280" s="6">
        <f t="shared" si="4"/>
        <v>21472839</v>
      </c>
      <c r="F280" s="9" t="str" cm="1">
        <f t="array" ref="F280">_xlfn.LET( _xlpm.original, E280,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021 472 839</v>
      </c>
      <c r="H280" t="s">
        <v>1435</v>
      </c>
      <c r="J280" t="s">
        <v>1791</v>
      </c>
      <c r="K280" t="s">
        <v>1885</v>
      </c>
      <c r="L280" t="s">
        <v>2255</v>
      </c>
    </row>
    <row r="281" spans="1:12" x14ac:dyDescent="0.25">
      <c r="A281" t="s">
        <v>92</v>
      </c>
      <c r="B281" t="s">
        <v>415</v>
      </c>
      <c r="C281" t="s">
        <v>758</v>
      </c>
      <c r="D281" t="s">
        <v>869</v>
      </c>
      <c r="E281" s="6">
        <f t="shared" si="4"/>
        <v>21736415</v>
      </c>
      <c r="F281" s="9" t="str" cm="1">
        <f t="array" ref="F281">_xlfn.LET( _xlpm.original, E281,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021 736 415</v>
      </c>
      <c r="H281" t="s">
        <v>1434</v>
      </c>
      <c r="J281" t="s">
        <v>1786</v>
      </c>
      <c r="K281" t="s">
        <v>1884</v>
      </c>
      <c r="L281" t="s">
        <v>2254</v>
      </c>
    </row>
    <row r="282" spans="1:12" x14ac:dyDescent="0.25">
      <c r="A282" t="s">
        <v>91</v>
      </c>
      <c r="B282" t="s">
        <v>414</v>
      </c>
      <c r="C282" t="s">
        <v>758</v>
      </c>
      <c r="D282" t="s">
        <v>868</v>
      </c>
      <c r="E282" s="6">
        <f t="shared" si="4"/>
        <v>21866253</v>
      </c>
      <c r="F282" s="9" t="str" cm="1">
        <f t="array" ref="F282">_xlfn.LET( _xlpm.original, E282,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021 866 253</v>
      </c>
      <c r="H282" t="s">
        <v>1433</v>
      </c>
      <c r="J282" t="s">
        <v>769</v>
      </c>
      <c r="K282" t="s">
        <v>1883</v>
      </c>
      <c r="L282" t="s">
        <v>2253</v>
      </c>
    </row>
    <row r="283" spans="1:12" x14ac:dyDescent="0.25">
      <c r="A283" t="s">
        <v>90</v>
      </c>
      <c r="B283" t="s">
        <v>413</v>
      </c>
      <c r="C283" t="s">
        <v>758</v>
      </c>
      <c r="D283" t="s">
        <v>867</v>
      </c>
      <c r="E283" s="6">
        <f t="shared" si="4"/>
        <v>21993131</v>
      </c>
      <c r="F283" s="9" t="str" cm="1">
        <f t="array" ref="F283">_xlfn.LET( _xlpm.original, E283,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021 993 131</v>
      </c>
      <c r="H283" t="s">
        <v>1432</v>
      </c>
      <c r="J283" t="s">
        <v>759</v>
      </c>
      <c r="K283" t="s">
        <v>1883</v>
      </c>
      <c r="L283" t="s">
        <v>2252</v>
      </c>
    </row>
    <row r="284" spans="1:12" x14ac:dyDescent="0.25">
      <c r="A284" t="s">
        <v>89</v>
      </c>
      <c r="B284" t="s">
        <v>412</v>
      </c>
      <c r="C284" t="s">
        <v>758</v>
      </c>
      <c r="D284" t="s">
        <v>866</v>
      </c>
      <c r="E284" s="6">
        <f t="shared" si="4"/>
        <v>21831021</v>
      </c>
      <c r="F284" s="9" t="str" cm="1">
        <f t="array" ref="F284">_xlfn.LET( _xlpm.original, E284,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021 831 021</v>
      </c>
      <c r="H284" t="s">
        <v>1431</v>
      </c>
      <c r="J284" t="s">
        <v>1788</v>
      </c>
      <c r="K284" t="s">
        <v>1883</v>
      </c>
      <c r="L284" t="s">
        <v>2251</v>
      </c>
    </row>
    <row r="285" spans="1:12" x14ac:dyDescent="0.25">
      <c r="A285" t="s">
        <v>88</v>
      </c>
      <c r="B285" t="s">
        <v>411</v>
      </c>
      <c r="C285" t="s">
        <v>765</v>
      </c>
      <c r="D285" t="s">
        <v>865</v>
      </c>
      <c r="E285" s="6">
        <f t="shared" si="4"/>
        <v>21556598</v>
      </c>
      <c r="F285" s="9" t="str" cm="1">
        <f t="array" ref="F285">_xlfn.LET( _xlpm.original, E285,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021 556 598</v>
      </c>
      <c r="H285" t="s">
        <v>1430</v>
      </c>
      <c r="J285" t="s">
        <v>769</v>
      </c>
      <c r="K285" t="s">
        <v>1883</v>
      </c>
      <c r="L285" t="s">
        <v>2165</v>
      </c>
    </row>
    <row r="286" spans="1:12" x14ac:dyDescent="0.25">
      <c r="A286" t="s">
        <v>87</v>
      </c>
      <c r="B286" t="s">
        <v>410</v>
      </c>
      <c r="C286" t="s">
        <v>758</v>
      </c>
      <c r="D286" t="s">
        <v>864</v>
      </c>
      <c r="E286" s="6">
        <f t="shared" si="4"/>
        <v>273765955</v>
      </c>
      <c r="F286" s="9" t="str" cm="1">
        <f t="array" ref="F286">_xlfn.LET( _xlpm.original, E286,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027 376 5955</v>
      </c>
      <c r="H286" t="s">
        <v>1429</v>
      </c>
      <c r="J286" t="s">
        <v>1791</v>
      </c>
      <c r="K286" t="s">
        <v>1882</v>
      </c>
      <c r="L286" t="s">
        <v>2250</v>
      </c>
    </row>
    <row r="287" spans="1:12" x14ac:dyDescent="0.25">
      <c r="A287" t="s">
        <v>86</v>
      </c>
      <c r="B287" t="s">
        <v>409</v>
      </c>
      <c r="C287" t="s">
        <v>758</v>
      </c>
      <c r="D287" t="s">
        <v>863</v>
      </c>
      <c r="E287" s="6">
        <f t="shared" si="4"/>
        <v>21478685</v>
      </c>
      <c r="F287" s="9" t="str" cm="1">
        <f t="array" ref="F287">_xlfn.LET( _xlpm.original, E287,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021 478 685</v>
      </c>
      <c r="H287" t="s">
        <v>1428</v>
      </c>
      <c r="J287" t="s">
        <v>769</v>
      </c>
      <c r="K287" t="s">
        <v>1881</v>
      </c>
      <c r="L287" t="s">
        <v>2249</v>
      </c>
    </row>
    <row r="288" spans="1:12" x14ac:dyDescent="0.25">
      <c r="B288" t="s">
        <v>408</v>
      </c>
      <c r="C288" t="s">
        <v>758</v>
      </c>
      <c r="E288" s="6">
        <f t="shared" si="4"/>
        <v>0</v>
      </c>
      <c r="F288" s="9" t="str" cm="1">
        <f t="array" ref="F288">_xlfn.LET( _xlpm.original, E288,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88" t="s">
        <v>1220</v>
      </c>
      <c r="J288" t="s">
        <v>1787</v>
      </c>
      <c r="K288" t="s">
        <v>1880</v>
      </c>
      <c r="L288" t="s">
        <v>2248</v>
      </c>
    </row>
    <row r="289" spans="1:12" x14ac:dyDescent="0.25">
      <c r="A289" t="s">
        <v>85</v>
      </c>
      <c r="B289" t="s">
        <v>407</v>
      </c>
      <c r="C289" t="s">
        <v>765</v>
      </c>
      <c r="D289" t="s">
        <v>862</v>
      </c>
      <c r="E289" s="6">
        <f t="shared" si="4"/>
        <v>272059589</v>
      </c>
      <c r="F289" s="9" t="str" cm="1">
        <f t="array" ref="F289">_xlfn.LET( _xlpm.original, E289,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027 205 9589</v>
      </c>
      <c r="H289" t="s">
        <v>1427</v>
      </c>
      <c r="J289" t="s">
        <v>1791</v>
      </c>
      <c r="K289" t="s">
        <v>1879</v>
      </c>
      <c r="L289" t="s">
        <v>2247</v>
      </c>
    </row>
    <row r="290" spans="1:12" x14ac:dyDescent="0.25">
      <c r="A290" t="s">
        <v>12</v>
      </c>
      <c r="B290" t="s">
        <v>395</v>
      </c>
      <c r="C290" t="s">
        <v>758</v>
      </c>
      <c r="E290" s="6">
        <f t="shared" si="4"/>
        <v>0</v>
      </c>
      <c r="F290" s="9" t="str" cm="1">
        <f t="array" ref="F290">_xlfn.LET( _xlpm.original, E290,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90" t="s">
        <v>1209</v>
      </c>
      <c r="H290" t="s">
        <v>1414</v>
      </c>
      <c r="J290" t="s">
        <v>762</v>
      </c>
      <c r="K290" t="s">
        <v>1873</v>
      </c>
      <c r="L290" t="s">
        <v>2233</v>
      </c>
    </row>
    <row r="291" spans="1:12" x14ac:dyDescent="0.25">
      <c r="A291" t="s">
        <v>12</v>
      </c>
      <c r="B291" t="s">
        <v>395</v>
      </c>
      <c r="C291" t="s">
        <v>758</v>
      </c>
      <c r="D291" t="s">
        <v>860</v>
      </c>
      <c r="E291" s="6">
        <f t="shared" si="4"/>
        <v>272215953</v>
      </c>
      <c r="F291" s="9" t="str" cm="1">
        <f t="array" ref="F291">_xlfn.LET( _xlpm.original, E291,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027 221 5953</v>
      </c>
      <c r="H291" t="s">
        <v>1414</v>
      </c>
      <c r="J291" t="s">
        <v>762</v>
      </c>
      <c r="K291" t="s">
        <v>1873</v>
      </c>
      <c r="L291" t="s">
        <v>2233</v>
      </c>
    </row>
    <row r="292" spans="1:12" x14ac:dyDescent="0.25">
      <c r="A292" t="s">
        <v>83</v>
      </c>
      <c r="B292" t="s">
        <v>405</v>
      </c>
      <c r="C292" t="s">
        <v>758</v>
      </c>
      <c r="D292" t="s">
        <v>859</v>
      </c>
      <c r="E292" s="6">
        <f t="shared" si="4"/>
        <v>21487404</v>
      </c>
      <c r="F292" s="9" t="str" cm="1">
        <f t="array" ref="F292">_xlfn.LET( _xlpm.original, E292,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021 487 404</v>
      </c>
      <c r="H292" t="s">
        <v>1425</v>
      </c>
      <c r="J292" t="s">
        <v>769</v>
      </c>
      <c r="K292" t="s">
        <v>1873</v>
      </c>
      <c r="L292" t="s">
        <v>2245</v>
      </c>
    </row>
    <row r="293" spans="1:12" x14ac:dyDescent="0.25">
      <c r="A293" t="s">
        <v>82</v>
      </c>
      <c r="B293" t="s">
        <v>82</v>
      </c>
      <c r="C293" t="s">
        <v>758</v>
      </c>
      <c r="E293" s="6">
        <f t="shared" si="4"/>
        <v>0</v>
      </c>
      <c r="F293" s="9" t="str" cm="1">
        <f t="array" ref="F293">_xlfn.LET( _xlpm.original, E293,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293" t="s">
        <v>1219</v>
      </c>
      <c r="H293" t="s">
        <v>1424</v>
      </c>
      <c r="J293" t="s">
        <v>1786</v>
      </c>
      <c r="K293" t="s">
        <v>1877</v>
      </c>
      <c r="L293" t="s">
        <v>2244</v>
      </c>
    </row>
    <row r="294" spans="1:12" x14ac:dyDescent="0.25">
      <c r="A294" t="s">
        <v>81</v>
      </c>
      <c r="B294" t="s">
        <v>81</v>
      </c>
      <c r="C294" t="s">
        <v>758</v>
      </c>
      <c r="D294" t="s">
        <v>858</v>
      </c>
      <c r="E294" s="6">
        <f t="shared" si="4"/>
        <v>224013275</v>
      </c>
      <c r="F294" s="9" t="str" cm="1">
        <f t="array" ref="F294">_xlfn.LET( _xlpm.original, E294,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022 401 3275</v>
      </c>
      <c r="J294" t="s">
        <v>1787</v>
      </c>
      <c r="K294" t="s">
        <v>1877</v>
      </c>
      <c r="L294" t="s">
        <v>2243</v>
      </c>
    </row>
    <row r="295" spans="1:12" x14ac:dyDescent="0.25">
      <c r="A295" t="s">
        <v>80</v>
      </c>
      <c r="B295" t="s">
        <v>404</v>
      </c>
      <c r="C295" t="s">
        <v>758</v>
      </c>
      <c r="D295" t="s">
        <v>857</v>
      </c>
      <c r="E295" s="6">
        <f t="shared" si="4"/>
        <v>21646686</v>
      </c>
      <c r="F295" s="9" t="str" cm="1">
        <f t="array" ref="F295">_xlfn.LET( _xlpm.original, E295,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021 646 686</v>
      </c>
      <c r="G295" t="s">
        <v>1218</v>
      </c>
      <c r="H295" t="s">
        <v>1423</v>
      </c>
      <c r="J295" t="s">
        <v>759</v>
      </c>
      <c r="K295" t="s">
        <v>1876</v>
      </c>
      <c r="L295" t="s">
        <v>2242</v>
      </c>
    </row>
    <row r="296" spans="1:12" x14ac:dyDescent="0.25">
      <c r="A296" t="s">
        <v>79</v>
      </c>
      <c r="B296" t="s">
        <v>403</v>
      </c>
      <c r="C296" t="s">
        <v>758</v>
      </c>
      <c r="D296" t="s">
        <v>856</v>
      </c>
      <c r="E296" s="6">
        <f t="shared" si="4"/>
        <v>224328135</v>
      </c>
      <c r="F296" s="9" t="str" cm="1">
        <f t="array" ref="F296">_xlfn.LET( _xlpm.original, E296,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022 432 8135</v>
      </c>
      <c r="H296" t="s">
        <v>1422</v>
      </c>
      <c r="J296" t="s">
        <v>769</v>
      </c>
      <c r="K296" t="s">
        <v>1875</v>
      </c>
      <c r="L296" t="s">
        <v>2241</v>
      </c>
    </row>
    <row r="297" spans="1:12" x14ac:dyDescent="0.25">
      <c r="B297" t="s">
        <v>402</v>
      </c>
      <c r="C297" t="s">
        <v>759</v>
      </c>
      <c r="D297" t="s">
        <v>855</v>
      </c>
      <c r="E297" s="6">
        <f t="shared" si="4"/>
        <v>224762571</v>
      </c>
      <c r="F297" s="9" t="str" cm="1">
        <f t="array" ref="F297">_xlfn.LET( _xlpm.original, E297,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022 476 2571</v>
      </c>
      <c r="H297" t="s">
        <v>1421</v>
      </c>
      <c r="J297" t="s">
        <v>1791</v>
      </c>
      <c r="K297" t="s">
        <v>1874</v>
      </c>
      <c r="L297" t="s">
        <v>2240</v>
      </c>
    </row>
    <row r="298" spans="1:12" x14ac:dyDescent="0.25">
      <c r="B298" t="s">
        <v>401</v>
      </c>
      <c r="C298" t="s">
        <v>765</v>
      </c>
      <c r="D298" t="s">
        <v>854</v>
      </c>
      <c r="E298" s="6">
        <f t="shared" si="4"/>
        <v>275361650</v>
      </c>
      <c r="F298" s="9" t="str" cm="1">
        <f t="array" ref="F298">_xlfn.LET( _xlpm.original, E298,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027 536 1650</v>
      </c>
      <c r="G298" t="s">
        <v>1217</v>
      </c>
      <c r="H298" t="s">
        <v>1420</v>
      </c>
      <c r="J298" t="s">
        <v>1786</v>
      </c>
      <c r="K298" t="s">
        <v>1851</v>
      </c>
      <c r="L298" t="s">
        <v>2239</v>
      </c>
    </row>
    <row r="299" spans="1:12" x14ac:dyDescent="0.25">
      <c r="A299" t="s">
        <v>78</v>
      </c>
      <c r="B299" t="s">
        <v>400</v>
      </c>
      <c r="C299" t="s">
        <v>758</v>
      </c>
      <c r="D299" t="s">
        <v>853</v>
      </c>
      <c r="E299" s="6">
        <f t="shared" si="4"/>
        <v>274820366</v>
      </c>
      <c r="F299" s="9" t="str" cm="1">
        <f t="array" ref="F299">_xlfn.LET( _xlpm.original, E299,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027 482 0366</v>
      </c>
      <c r="H299" t="s">
        <v>1419</v>
      </c>
      <c r="J299" t="s">
        <v>1788</v>
      </c>
      <c r="K299" t="s">
        <v>1851</v>
      </c>
      <c r="L299" t="s">
        <v>2238</v>
      </c>
    </row>
    <row r="300" spans="1:12" x14ac:dyDescent="0.25">
      <c r="A300" t="s">
        <v>77</v>
      </c>
      <c r="B300" t="s">
        <v>399</v>
      </c>
      <c r="C300" t="s">
        <v>758</v>
      </c>
      <c r="D300" t="s">
        <v>852</v>
      </c>
      <c r="E300" s="6">
        <f t="shared" si="4"/>
        <v>21372909</v>
      </c>
      <c r="F300" s="9" t="str" cm="1">
        <f t="array" ref="F300">_xlfn.LET( _xlpm.original, E300,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021 372 909</v>
      </c>
      <c r="H300" t="s">
        <v>1418</v>
      </c>
      <c r="J300" t="s">
        <v>1786</v>
      </c>
      <c r="K300" t="s">
        <v>1851</v>
      </c>
      <c r="L300" t="s">
        <v>2237</v>
      </c>
    </row>
    <row r="301" spans="1:12" x14ac:dyDescent="0.25">
      <c r="A301" t="s">
        <v>76</v>
      </c>
      <c r="B301" t="s">
        <v>398</v>
      </c>
      <c r="C301" t="s">
        <v>758</v>
      </c>
      <c r="D301" t="s">
        <v>851</v>
      </c>
      <c r="E301" s="6">
        <f t="shared" si="4"/>
        <v>272047577</v>
      </c>
      <c r="F301" s="9" t="str" cm="1">
        <f t="array" ref="F301">_xlfn.LET( _xlpm.original, E301,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027 204 7577</v>
      </c>
      <c r="H301" t="s">
        <v>1417</v>
      </c>
      <c r="J301" t="s">
        <v>769</v>
      </c>
      <c r="K301" t="s">
        <v>1851</v>
      </c>
      <c r="L301" t="s">
        <v>2236</v>
      </c>
    </row>
    <row r="302" spans="1:12" x14ac:dyDescent="0.25">
      <c r="A302" t="s">
        <v>75</v>
      </c>
      <c r="B302" t="s">
        <v>397</v>
      </c>
      <c r="C302" t="s">
        <v>762</v>
      </c>
      <c r="D302" t="s">
        <v>850</v>
      </c>
      <c r="E302" s="6">
        <f t="shared" si="4"/>
        <v>2108457246</v>
      </c>
      <c r="F302" s="9" t="str" cm="1">
        <f t="array" ref="F302">_xlfn.LET( _xlpm.original, E302,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210 845 7246</v>
      </c>
      <c r="G302" t="s">
        <v>1216</v>
      </c>
      <c r="H302" t="s">
        <v>1416</v>
      </c>
      <c r="J302" t="s">
        <v>762</v>
      </c>
      <c r="K302" t="s">
        <v>1851</v>
      </c>
      <c r="L302" t="s">
        <v>2235</v>
      </c>
    </row>
    <row r="303" spans="1:12" x14ac:dyDescent="0.25">
      <c r="A303" t="s">
        <v>74</v>
      </c>
      <c r="B303" t="s">
        <v>396</v>
      </c>
      <c r="C303" t="s">
        <v>758</v>
      </c>
      <c r="D303" t="s">
        <v>849</v>
      </c>
      <c r="E303" s="6">
        <f t="shared" si="4"/>
        <v>272056811</v>
      </c>
      <c r="F303" s="9" t="str" cm="1">
        <f t="array" ref="F303">_xlfn.LET( _xlpm.original, E303,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027 205 6811</v>
      </c>
      <c r="H303" t="s">
        <v>1415</v>
      </c>
      <c r="J303" t="s">
        <v>1797</v>
      </c>
      <c r="K303" t="s">
        <v>1851</v>
      </c>
      <c r="L303" t="s">
        <v>2234</v>
      </c>
    </row>
    <row r="304" spans="1:12" x14ac:dyDescent="0.25">
      <c r="A304" t="s">
        <v>32</v>
      </c>
      <c r="B304" t="s">
        <v>367</v>
      </c>
      <c r="C304" t="s">
        <v>758</v>
      </c>
      <c r="D304" t="s">
        <v>821</v>
      </c>
      <c r="E304" s="6">
        <f t="shared" si="4"/>
        <v>221128762</v>
      </c>
      <c r="F304" s="9" t="str" cm="1">
        <f t="array" ref="F304">_xlfn.LET( _xlpm.original, E304,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022 112 8762</v>
      </c>
      <c r="G304" t="s">
        <v>1201</v>
      </c>
      <c r="H304" t="s">
        <v>1384</v>
      </c>
      <c r="J304" t="s">
        <v>759</v>
      </c>
      <c r="K304" t="s">
        <v>1851</v>
      </c>
      <c r="L304" t="s">
        <v>2207</v>
      </c>
    </row>
    <row r="305" spans="1:12" x14ac:dyDescent="0.25">
      <c r="A305" t="s">
        <v>56</v>
      </c>
      <c r="B305" t="s">
        <v>366</v>
      </c>
      <c r="C305" t="s">
        <v>764</v>
      </c>
      <c r="D305" t="s">
        <v>2570</v>
      </c>
      <c r="E305" s="6">
        <f t="shared" si="4"/>
        <v>212460917</v>
      </c>
      <c r="F305" s="9" t="str" cm="1">
        <f t="array" ref="F305">_xlfn.LET( _xlpm.original, E305,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021 246 0917</v>
      </c>
      <c r="G305" t="s">
        <v>1200</v>
      </c>
      <c r="H305" t="s">
        <v>1383</v>
      </c>
      <c r="J305" t="s">
        <v>1795</v>
      </c>
      <c r="K305" t="s">
        <v>1850</v>
      </c>
      <c r="L305" t="s">
        <v>2206</v>
      </c>
    </row>
    <row r="306" spans="1:12" x14ac:dyDescent="0.25">
      <c r="A306" t="s">
        <v>55</v>
      </c>
      <c r="B306" t="s">
        <v>365</v>
      </c>
      <c r="C306" t="s">
        <v>758</v>
      </c>
      <c r="D306" t="s">
        <v>820</v>
      </c>
      <c r="E306" s="6">
        <f t="shared" si="4"/>
        <v>226583139</v>
      </c>
      <c r="F306" s="9" t="str" cm="1">
        <f t="array" ref="F306">_xlfn.LET( _xlpm.original, E306,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022 658 3139</v>
      </c>
      <c r="G306" t="s">
        <v>1199</v>
      </c>
      <c r="H306" t="s">
        <v>1382</v>
      </c>
      <c r="J306" t="s">
        <v>1791</v>
      </c>
      <c r="K306" t="s">
        <v>1850</v>
      </c>
      <c r="L306" t="s">
        <v>2205</v>
      </c>
    </row>
    <row r="307" spans="1:12" x14ac:dyDescent="0.25">
      <c r="B307" t="s">
        <v>334</v>
      </c>
      <c r="C307" t="s">
        <v>758</v>
      </c>
      <c r="D307" t="s">
        <v>793</v>
      </c>
      <c r="E307" s="6">
        <f t="shared" si="4"/>
        <v>275297853</v>
      </c>
      <c r="F307" s="9" t="str" cm="1">
        <f t="array" ref="F307">_xlfn.LET( _xlpm.original, E307,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027 529 7853</v>
      </c>
      <c r="H307" t="s">
        <v>1351</v>
      </c>
      <c r="J307" t="s">
        <v>1786</v>
      </c>
      <c r="K307" t="s">
        <v>1831</v>
      </c>
      <c r="L307" t="s">
        <v>2174</v>
      </c>
    </row>
    <row r="308" spans="1:12" x14ac:dyDescent="0.25">
      <c r="A308" t="s">
        <v>28</v>
      </c>
      <c r="B308" t="s">
        <v>333</v>
      </c>
      <c r="C308" t="s">
        <v>758</v>
      </c>
      <c r="D308" t="s">
        <v>792</v>
      </c>
      <c r="E308" s="6">
        <f t="shared" si="4"/>
        <v>2108370700</v>
      </c>
      <c r="F308" s="9" t="str" cm="1">
        <f t="array" ref="F308">_xlfn.LET( _xlpm.original, E308,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210 837 0700</v>
      </c>
      <c r="H308" t="s">
        <v>1350</v>
      </c>
      <c r="J308" t="s">
        <v>1786</v>
      </c>
      <c r="K308" t="s">
        <v>1831</v>
      </c>
      <c r="L308" t="s">
        <v>2165</v>
      </c>
    </row>
    <row r="309" spans="1:12" x14ac:dyDescent="0.25">
      <c r="A309" t="s">
        <v>27</v>
      </c>
      <c r="B309" t="s">
        <v>27</v>
      </c>
      <c r="C309" t="s">
        <v>758</v>
      </c>
      <c r="D309" t="s">
        <v>791</v>
      </c>
      <c r="E309" s="6">
        <f t="shared" si="4"/>
        <v>21967798</v>
      </c>
      <c r="F309" s="9" t="str" cm="1">
        <f t="array" ref="F309">_xlfn.LET( _xlpm.original, E309,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021 967 798</v>
      </c>
      <c r="H309" t="s">
        <v>1349</v>
      </c>
      <c r="J309" t="s">
        <v>769</v>
      </c>
      <c r="K309" t="s">
        <v>1831</v>
      </c>
      <c r="L309" t="s">
        <v>2173</v>
      </c>
    </row>
    <row r="310" spans="1:12" x14ac:dyDescent="0.25">
      <c r="A310" t="s">
        <v>26</v>
      </c>
      <c r="B310" t="s">
        <v>332</v>
      </c>
      <c r="C310" t="s">
        <v>758</v>
      </c>
      <c r="D310" t="s">
        <v>790</v>
      </c>
      <c r="E310" s="6">
        <f t="shared" si="4"/>
        <v>2102243713</v>
      </c>
      <c r="F310" s="9" t="str" cm="1">
        <f t="array" ref="F310">_xlfn.LET( _xlpm.original, E310,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210 224 3713</v>
      </c>
      <c r="H310" t="s">
        <v>1348</v>
      </c>
      <c r="J310" t="s">
        <v>1786</v>
      </c>
      <c r="K310" t="s">
        <v>1831</v>
      </c>
      <c r="L310" t="s">
        <v>2172</v>
      </c>
    </row>
    <row r="311" spans="1:12" x14ac:dyDescent="0.25">
      <c r="A311" t="s">
        <v>25</v>
      </c>
      <c r="B311" t="s">
        <v>331</v>
      </c>
      <c r="C311" t="s">
        <v>762</v>
      </c>
      <c r="D311" t="s">
        <v>789</v>
      </c>
      <c r="E311" s="6">
        <f t="shared" si="4"/>
        <v>212946857</v>
      </c>
      <c r="F311" s="9" t="str" cm="1">
        <f t="array" ref="F311">_xlfn.LET( _xlpm.original, E311,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021 294 6857</v>
      </c>
      <c r="G311" t="s">
        <v>1188</v>
      </c>
      <c r="H311" t="s">
        <v>1347</v>
      </c>
      <c r="J311" t="s">
        <v>1790</v>
      </c>
      <c r="K311" t="s">
        <v>1831</v>
      </c>
      <c r="L311" t="s">
        <v>2171</v>
      </c>
    </row>
    <row r="312" spans="1:12" x14ac:dyDescent="0.25">
      <c r="A312" t="s">
        <v>24</v>
      </c>
      <c r="B312" t="s">
        <v>330</v>
      </c>
      <c r="C312" t="s">
        <v>758</v>
      </c>
      <c r="D312" t="s">
        <v>788</v>
      </c>
      <c r="E312" s="6">
        <f t="shared" si="4"/>
        <v>274395521</v>
      </c>
      <c r="F312" s="9" t="str" cm="1">
        <f t="array" ref="F312">_xlfn.LET( _xlpm.original, E312,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027 439 5521</v>
      </c>
      <c r="G312" t="s">
        <v>1187</v>
      </c>
      <c r="H312" t="s">
        <v>1346</v>
      </c>
      <c r="J312" t="s">
        <v>769</v>
      </c>
      <c r="K312" t="s">
        <v>1831</v>
      </c>
      <c r="L312" t="s">
        <v>2170</v>
      </c>
    </row>
    <row r="313" spans="1:12" x14ac:dyDescent="0.25">
      <c r="A313" t="s">
        <v>23</v>
      </c>
      <c r="B313" t="s">
        <v>329</v>
      </c>
      <c r="C313" t="s">
        <v>758</v>
      </c>
      <c r="D313" t="s">
        <v>787</v>
      </c>
      <c r="E313" s="6">
        <f t="shared" si="4"/>
        <v>21591006</v>
      </c>
      <c r="F313" s="9" t="str" cm="1">
        <f t="array" ref="F313">_xlfn.LET( _xlpm.original, E313,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021 591 006</v>
      </c>
      <c r="J313" t="s">
        <v>758</v>
      </c>
      <c r="K313" t="s">
        <v>1831</v>
      </c>
      <c r="L313" t="s">
        <v>2169</v>
      </c>
    </row>
    <row r="314" spans="1:12" x14ac:dyDescent="0.25">
      <c r="A314" t="s">
        <v>22</v>
      </c>
      <c r="B314" t="s">
        <v>328</v>
      </c>
      <c r="C314" t="s">
        <v>758</v>
      </c>
      <c r="D314" t="s">
        <v>786</v>
      </c>
      <c r="E314" s="6">
        <f t="shared" si="4"/>
        <v>642040000000</v>
      </c>
      <c r="F314" s="9" t="str" cm="1">
        <f t="array" ref="F314">_xlfn.LET( _xlpm.original, E314,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314" t="s">
        <v>1345</v>
      </c>
      <c r="J314" t="s">
        <v>762</v>
      </c>
      <c r="K314" t="s">
        <v>1830</v>
      </c>
      <c r="L314" t="s">
        <v>2168</v>
      </c>
    </row>
    <row r="315" spans="1:12" x14ac:dyDescent="0.25">
      <c r="A315" t="s">
        <v>2554</v>
      </c>
      <c r="B315" t="s">
        <v>327</v>
      </c>
      <c r="C315" t="s">
        <v>762</v>
      </c>
      <c r="E315" s="6">
        <f t="shared" si="4"/>
        <v>0</v>
      </c>
      <c r="F315" s="9" t="str" cm="1">
        <f t="array" ref="F315">_xlfn.LET( _xlpm.original, E315,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15" t="s">
        <v>1186</v>
      </c>
      <c r="H315" t="s">
        <v>1344</v>
      </c>
      <c r="J315" t="s">
        <v>762</v>
      </c>
      <c r="K315" t="s">
        <v>1829</v>
      </c>
      <c r="L315" t="s">
        <v>2167</v>
      </c>
    </row>
    <row r="316" spans="1:12" x14ac:dyDescent="0.25">
      <c r="A316" t="s">
        <v>21</v>
      </c>
      <c r="B316" t="s">
        <v>326</v>
      </c>
      <c r="C316" t="s">
        <v>758</v>
      </c>
      <c r="D316" t="s">
        <v>785</v>
      </c>
      <c r="E316" s="6">
        <f t="shared" si="4"/>
        <v>223742645</v>
      </c>
      <c r="F316" s="9" t="str" cm="1">
        <f t="array" ref="F316">_xlfn.LET( _xlpm.original, E316,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022 374 2645</v>
      </c>
      <c r="H316" t="s">
        <v>1343</v>
      </c>
      <c r="J316" t="s">
        <v>769</v>
      </c>
      <c r="K316" t="s">
        <v>1828</v>
      </c>
      <c r="L316" t="s">
        <v>1973</v>
      </c>
    </row>
    <row r="317" spans="1:12" x14ac:dyDescent="0.25">
      <c r="A317" t="s">
        <v>20</v>
      </c>
      <c r="B317" t="s">
        <v>325</v>
      </c>
      <c r="C317" t="s">
        <v>762</v>
      </c>
      <c r="D317" t="s">
        <v>784</v>
      </c>
      <c r="E317" s="6">
        <f t="shared" si="4"/>
        <v>275550720</v>
      </c>
      <c r="F317" s="9" t="str" cm="1">
        <f t="array" ref="F317">_xlfn.LET( _xlpm.original, E317,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027 555 0720</v>
      </c>
      <c r="H317" t="s">
        <v>1342</v>
      </c>
      <c r="J317" t="s">
        <v>762</v>
      </c>
      <c r="K317" t="s">
        <v>1827</v>
      </c>
      <c r="L317" t="s">
        <v>2166</v>
      </c>
    </row>
    <row r="318" spans="1:12" x14ac:dyDescent="0.25">
      <c r="A318" t="s">
        <v>19</v>
      </c>
      <c r="B318" t="s">
        <v>324</v>
      </c>
      <c r="C318" t="s">
        <v>758</v>
      </c>
      <c r="D318" t="s">
        <v>783</v>
      </c>
      <c r="E318" s="6">
        <f t="shared" si="4"/>
        <v>21900532</v>
      </c>
      <c r="F318" s="9" t="str" cm="1">
        <f t="array" ref="F318">_xlfn.LET( _xlpm.original, E318,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021 900 532</v>
      </c>
      <c r="G318" t="s">
        <v>1185</v>
      </c>
      <c r="H318" t="s">
        <v>1341</v>
      </c>
      <c r="J318" t="s">
        <v>769</v>
      </c>
      <c r="K318" t="s">
        <v>1827</v>
      </c>
      <c r="L318" t="s">
        <v>2165</v>
      </c>
    </row>
    <row r="319" spans="1:12" x14ac:dyDescent="0.25">
      <c r="A319" t="s">
        <v>18</v>
      </c>
      <c r="B319" t="s">
        <v>323</v>
      </c>
      <c r="C319" t="s">
        <v>758</v>
      </c>
      <c r="E319" s="6">
        <f t="shared" si="4"/>
        <v>0</v>
      </c>
      <c r="F319" s="9" t="str" cm="1">
        <f t="array" ref="F319">_xlfn.LET( _xlpm.original, E319,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19" t="s">
        <v>1184</v>
      </c>
      <c r="H319" t="s">
        <v>1340</v>
      </c>
      <c r="J319" t="s">
        <v>1792</v>
      </c>
      <c r="K319" t="s">
        <v>1826</v>
      </c>
      <c r="L319" t="s">
        <v>2164</v>
      </c>
    </row>
    <row r="320" spans="1:12" x14ac:dyDescent="0.25">
      <c r="A320" t="s">
        <v>17</v>
      </c>
      <c r="B320" t="s">
        <v>322</v>
      </c>
      <c r="C320" t="s">
        <v>758</v>
      </c>
      <c r="D320" t="s">
        <v>782</v>
      </c>
      <c r="E320" s="6">
        <f t="shared" si="4"/>
        <v>21554506</v>
      </c>
      <c r="F320" s="9" t="str" cm="1">
        <f t="array" ref="F320">_xlfn.LET( _xlpm.original, E320,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021 554 506</v>
      </c>
      <c r="G320" t="s">
        <v>1183</v>
      </c>
      <c r="H320" t="s">
        <v>1339</v>
      </c>
      <c r="J320" t="s">
        <v>1791</v>
      </c>
      <c r="K320" t="s">
        <v>1825</v>
      </c>
      <c r="L320" t="s">
        <v>2163</v>
      </c>
    </row>
    <row r="321" spans="1:12" x14ac:dyDescent="0.25">
      <c r="A321" t="s">
        <v>16</v>
      </c>
      <c r="B321" t="s">
        <v>321</v>
      </c>
      <c r="C321" t="s">
        <v>758</v>
      </c>
      <c r="D321" t="s">
        <v>781</v>
      </c>
      <c r="E321" s="6">
        <f t="shared" si="4"/>
        <v>212343431</v>
      </c>
      <c r="F321" s="9" t="str" cm="1">
        <f t="array" ref="F321">_xlfn.LET( _xlpm.original, E321,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021 234 3431</v>
      </c>
      <c r="G321" t="s">
        <v>1182</v>
      </c>
      <c r="H321" t="s">
        <v>1338</v>
      </c>
      <c r="J321" t="s">
        <v>1790</v>
      </c>
      <c r="K321" t="s">
        <v>1824</v>
      </c>
      <c r="L321" t="s">
        <v>2162</v>
      </c>
    </row>
    <row r="322" spans="1:12" x14ac:dyDescent="0.25">
      <c r="A322" t="s">
        <v>15</v>
      </c>
      <c r="B322" t="s">
        <v>320</v>
      </c>
      <c r="C322" t="s">
        <v>758</v>
      </c>
      <c r="D322" t="s">
        <v>780</v>
      </c>
      <c r="E322" s="6">
        <f t="shared" si="4"/>
        <v>21446037</v>
      </c>
      <c r="F322" s="9" t="str" cm="1">
        <f t="array" ref="F322">_xlfn.LET( _xlpm.original, E322,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021 446 037</v>
      </c>
      <c r="G322" t="s">
        <v>1181</v>
      </c>
      <c r="H322" t="s">
        <v>1337</v>
      </c>
      <c r="J322" t="s">
        <v>759</v>
      </c>
      <c r="K322" t="s">
        <v>1823</v>
      </c>
      <c r="L322" t="s">
        <v>2161</v>
      </c>
    </row>
    <row r="323" spans="1:12" x14ac:dyDescent="0.25">
      <c r="A323" t="s">
        <v>14</v>
      </c>
      <c r="B323" t="s">
        <v>319</v>
      </c>
      <c r="C323" t="s">
        <v>760</v>
      </c>
      <c r="D323" t="s">
        <v>779</v>
      </c>
      <c r="E323" s="6">
        <f t="shared" si="4"/>
        <v>211682757</v>
      </c>
      <c r="F323" s="9" t="str" cm="1">
        <f t="array" ref="F323">_xlfn.LET( _xlpm.original, E323,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021 168 2757</v>
      </c>
      <c r="H323" t="s">
        <v>1336</v>
      </c>
      <c r="J323" t="s">
        <v>1789</v>
      </c>
      <c r="K323" t="s">
        <v>1822</v>
      </c>
      <c r="L323" t="s">
        <v>2160</v>
      </c>
    </row>
    <row r="324" spans="1:12" x14ac:dyDescent="0.25">
      <c r="B324" t="s">
        <v>318</v>
      </c>
      <c r="C324" t="s">
        <v>761</v>
      </c>
      <c r="D324" t="s">
        <v>778</v>
      </c>
      <c r="E324" s="6">
        <f t="shared" ref="E324:E387" si="5">_xlfn.NUMBERVALUE(D324)</f>
        <v>224190080</v>
      </c>
      <c r="F324" s="9" t="str" cm="1">
        <f t="array" ref="F324">_xlfn.LET( _xlpm.original, E324,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022 419 0080</v>
      </c>
      <c r="G324" t="s">
        <v>1180</v>
      </c>
      <c r="J324" t="s">
        <v>1786</v>
      </c>
      <c r="K324" t="s">
        <v>1821</v>
      </c>
      <c r="L324" t="s">
        <v>2159</v>
      </c>
    </row>
    <row r="325" spans="1:12" x14ac:dyDescent="0.25">
      <c r="A325" t="s">
        <v>13</v>
      </c>
      <c r="B325" t="s">
        <v>13</v>
      </c>
      <c r="C325" t="s">
        <v>758</v>
      </c>
      <c r="D325" t="s">
        <v>777</v>
      </c>
      <c r="E325" s="6">
        <f t="shared" si="5"/>
        <v>224109771</v>
      </c>
      <c r="F325" s="9" t="str" cm="1">
        <f t="array" ref="F325">_xlfn.LET( _xlpm.original, E325,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022 410 9771</v>
      </c>
      <c r="H325" t="s">
        <v>1335</v>
      </c>
      <c r="J325" t="s">
        <v>1788</v>
      </c>
      <c r="K325" t="s">
        <v>1820</v>
      </c>
      <c r="L325" t="s">
        <v>2158</v>
      </c>
    </row>
    <row r="326" spans="1:12" x14ac:dyDescent="0.25">
      <c r="A326" t="s">
        <v>12</v>
      </c>
      <c r="B326" t="s">
        <v>317</v>
      </c>
      <c r="C326" t="s">
        <v>758</v>
      </c>
      <c r="D326" t="s">
        <v>776</v>
      </c>
      <c r="E326" s="6">
        <f t="shared" si="5"/>
        <v>275333240</v>
      </c>
      <c r="F326" s="9" t="str" cm="1">
        <f t="array" ref="F326">_xlfn.LET( _xlpm.original, E326,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027 533 3240</v>
      </c>
      <c r="H326" t="s">
        <v>1334</v>
      </c>
      <c r="J326" t="s">
        <v>762</v>
      </c>
      <c r="K326" t="s">
        <v>1820</v>
      </c>
      <c r="L326" t="s">
        <v>2157</v>
      </c>
    </row>
    <row r="327" spans="1:12" x14ac:dyDescent="0.25">
      <c r="A327" t="s">
        <v>11</v>
      </c>
      <c r="B327" t="s">
        <v>11</v>
      </c>
      <c r="C327" t="s">
        <v>758</v>
      </c>
      <c r="D327" t="s">
        <v>775</v>
      </c>
      <c r="E327" s="6">
        <f t="shared" si="5"/>
        <v>21489648</v>
      </c>
      <c r="F327" s="9" t="str" cm="1">
        <f t="array" ref="F327">_xlfn.LET( _xlpm.original, E327,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021 489 648</v>
      </c>
      <c r="H327" t="s">
        <v>1333</v>
      </c>
      <c r="J327" t="s">
        <v>1787</v>
      </c>
      <c r="K327" t="s">
        <v>1820</v>
      </c>
      <c r="L327" t="s">
        <v>2150</v>
      </c>
    </row>
    <row r="328" spans="1:12" x14ac:dyDescent="0.25">
      <c r="A328" t="s">
        <v>10</v>
      </c>
      <c r="B328" t="s">
        <v>316</v>
      </c>
      <c r="C328" t="s">
        <v>758</v>
      </c>
      <c r="D328" t="s">
        <v>774</v>
      </c>
      <c r="E328" s="6">
        <f t="shared" si="5"/>
        <v>21754709</v>
      </c>
      <c r="F328" s="9" t="str" cm="1">
        <f t="array" ref="F328">_xlfn.LET( _xlpm.original, E328,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021 754 709</v>
      </c>
      <c r="H328" t="s">
        <v>1332</v>
      </c>
      <c r="J328" t="s">
        <v>762</v>
      </c>
      <c r="K328" t="s">
        <v>1820</v>
      </c>
      <c r="L328" t="s">
        <v>2156</v>
      </c>
    </row>
    <row r="329" spans="1:12" x14ac:dyDescent="0.25">
      <c r="B329" t="s">
        <v>315</v>
      </c>
      <c r="C329" t="s">
        <v>760</v>
      </c>
      <c r="D329" t="s">
        <v>773</v>
      </c>
      <c r="E329" s="6">
        <f t="shared" si="5"/>
        <v>21435338</v>
      </c>
      <c r="F329" s="9" t="str" cm="1">
        <f t="array" ref="F329">_xlfn.LET( _xlpm.original, E329,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021 435 338</v>
      </c>
      <c r="G329" t="s">
        <v>1179</v>
      </c>
      <c r="H329" t="s">
        <v>1331</v>
      </c>
      <c r="J329" t="s">
        <v>759</v>
      </c>
      <c r="K329" t="s">
        <v>1819</v>
      </c>
      <c r="L329" t="s">
        <v>2155</v>
      </c>
    </row>
    <row r="330" spans="1:12" x14ac:dyDescent="0.25">
      <c r="A330" t="s">
        <v>9</v>
      </c>
      <c r="B330" t="s">
        <v>314</v>
      </c>
      <c r="C330" t="s">
        <v>758</v>
      </c>
      <c r="D330" t="s">
        <v>772</v>
      </c>
      <c r="E330" s="6">
        <f t="shared" si="5"/>
        <v>21959761</v>
      </c>
      <c r="F330" s="9" t="str" cm="1">
        <f t="array" ref="F330">_xlfn.LET( _xlpm.original, E330,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021 959 761</v>
      </c>
      <c r="H330" t="s">
        <v>1330</v>
      </c>
      <c r="J330" t="s">
        <v>1786</v>
      </c>
      <c r="K330" t="s">
        <v>1818</v>
      </c>
      <c r="L330" t="s">
        <v>2154</v>
      </c>
    </row>
    <row r="331" spans="1:12" x14ac:dyDescent="0.25">
      <c r="A331" t="s">
        <v>8</v>
      </c>
      <c r="B331" t="s">
        <v>313</v>
      </c>
      <c r="C331" t="s">
        <v>759</v>
      </c>
      <c r="E331" s="6">
        <f t="shared" si="5"/>
        <v>0</v>
      </c>
      <c r="F331" s="9" t="str" cm="1">
        <f t="array" ref="F331">_xlfn.LET( _xlpm.original, E331,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331" t="s">
        <v>1329</v>
      </c>
      <c r="J331" t="s">
        <v>759</v>
      </c>
      <c r="K331" t="s">
        <v>1817</v>
      </c>
      <c r="L331" t="s">
        <v>2153</v>
      </c>
    </row>
    <row r="332" spans="1:12" x14ac:dyDescent="0.25">
      <c r="A332" t="s">
        <v>7</v>
      </c>
      <c r="B332" t="s">
        <v>312</v>
      </c>
      <c r="C332" t="s">
        <v>758</v>
      </c>
      <c r="D332" t="s">
        <v>771</v>
      </c>
      <c r="E332" s="6">
        <f t="shared" si="5"/>
        <v>212776612</v>
      </c>
      <c r="F332" s="9" t="str" cm="1">
        <f t="array" ref="F332">_xlfn.LET( _xlpm.original, E332,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021 277 6612</v>
      </c>
      <c r="G332" t="s">
        <v>1178</v>
      </c>
      <c r="H332" t="s">
        <v>1328</v>
      </c>
      <c r="J332" t="s">
        <v>762</v>
      </c>
      <c r="K332" t="s">
        <v>1816</v>
      </c>
      <c r="L332" t="s">
        <v>2152</v>
      </c>
    </row>
    <row r="333" spans="1:12" x14ac:dyDescent="0.25">
      <c r="A333" t="s">
        <v>29</v>
      </c>
      <c r="B333" t="s">
        <v>335</v>
      </c>
      <c r="C333" t="s">
        <v>758</v>
      </c>
      <c r="D333" t="s">
        <v>794</v>
      </c>
      <c r="E333" s="6">
        <f t="shared" si="5"/>
        <v>21993180</v>
      </c>
      <c r="F333" s="9" t="str" cm="1">
        <f t="array" ref="F333">_xlfn.LET( _xlpm.original, E333,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021 993 180</v>
      </c>
      <c r="G333" t="s">
        <v>1189</v>
      </c>
      <c r="H333" t="s">
        <v>1352</v>
      </c>
      <c r="J333" t="s">
        <v>769</v>
      </c>
      <c r="K333" t="s">
        <v>1816</v>
      </c>
      <c r="L333" t="s">
        <v>2175</v>
      </c>
    </row>
    <row r="334" spans="1:12" x14ac:dyDescent="0.25">
      <c r="A334" t="s">
        <v>6</v>
      </c>
      <c r="B334" t="s">
        <v>311</v>
      </c>
      <c r="C334" t="s">
        <v>758</v>
      </c>
      <c r="E334" s="6">
        <f t="shared" si="5"/>
        <v>0</v>
      </c>
      <c r="F334" s="9" t="str" cm="1">
        <f t="array" ref="F334">_xlfn.LET( _xlpm.original, E334,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34" t="s">
        <v>1177</v>
      </c>
      <c r="H334" t="s">
        <v>1327</v>
      </c>
      <c r="J334" t="s">
        <v>1786</v>
      </c>
      <c r="K334" t="s">
        <v>1815</v>
      </c>
      <c r="L334" t="s">
        <v>2151</v>
      </c>
    </row>
    <row r="335" spans="1:12" x14ac:dyDescent="0.25">
      <c r="A335" t="s">
        <v>25</v>
      </c>
      <c r="B335" t="s">
        <v>336</v>
      </c>
      <c r="C335" t="s">
        <v>760</v>
      </c>
      <c r="D335" t="s">
        <v>795</v>
      </c>
      <c r="E335" s="6">
        <f t="shared" si="5"/>
        <v>21313599</v>
      </c>
      <c r="F335" s="9" t="str" cm="1">
        <f t="array" ref="F335">_xlfn.LET( _xlpm.original, E335,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021 313 599</v>
      </c>
      <c r="G335" t="s">
        <v>1188</v>
      </c>
      <c r="H335" t="s">
        <v>1353</v>
      </c>
      <c r="J335" t="s">
        <v>760</v>
      </c>
      <c r="K335" t="s">
        <v>1832</v>
      </c>
      <c r="L335" t="s">
        <v>2176</v>
      </c>
    </row>
    <row r="336" spans="1:12" x14ac:dyDescent="0.25">
      <c r="A336" t="s">
        <v>31</v>
      </c>
      <c r="B336" t="s">
        <v>338</v>
      </c>
      <c r="C336" t="s">
        <v>758</v>
      </c>
      <c r="D336" t="s">
        <v>797</v>
      </c>
      <c r="E336" s="6">
        <f t="shared" si="5"/>
        <v>275639578</v>
      </c>
      <c r="F336" s="9" t="str" cm="1">
        <f t="array" ref="F336">_xlfn.LET( _xlpm.original, E336,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027 563 9578</v>
      </c>
      <c r="H336" t="s">
        <v>1355</v>
      </c>
      <c r="J336" t="s">
        <v>1785</v>
      </c>
      <c r="K336" t="s">
        <v>1834</v>
      </c>
      <c r="L336" t="s">
        <v>2178</v>
      </c>
    </row>
    <row r="337" spans="1:12" x14ac:dyDescent="0.25">
      <c r="A337" t="s">
        <v>54</v>
      </c>
      <c r="B337" t="s">
        <v>364</v>
      </c>
      <c r="C337" t="s">
        <v>760</v>
      </c>
      <c r="D337" t="s">
        <v>819</v>
      </c>
      <c r="E337" s="6">
        <f t="shared" si="5"/>
        <v>2041393369</v>
      </c>
      <c r="F337" s="9" t="str" cm="1">
        <f t="array" ref="F337">_xlfn.LET( _xlpm.original, E337,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204 139 3369</v>
      </c>
      <c r="H337" t="s">
        <v>1381</v>
      </c>
      <c r="J337" t="s">
        <v>1791</v>
      </c>
      <c r="K337" t="s">
        <v>1849</v>
      </c>
      <c r="L337" t="s">
        <v>2204</v>
      </c>
    </row>
    <row r="338" spans="1:12" x14ac:dyDescent="0.25">
      <c r="A338" t="s">
        <v>53</v>
      </c>
      <c r="B338" t="s">
        <v>363</v>
      </c>
      <c r="C338" t="s">
        <v>763</v>
      </c>
      <c r="D338" t="s">
        <v>818</v>
      </c>
      <c r="E338" s="6">
        <f t="shared" si="5"/>
        <v>220274857</v>
      </c>
      <c r="F338" s="9" t="str" cm="1">
        <f t="array" ref="F338">_xlfn.LET( _xlpm.original, E338,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022 027 4857</v>
      </c>
      <c r="H338" t="s">
        <v>1380</v>
      </c>
      <c r="J338" t="s">
        <v>1790</v>
      </c>
      <c r="K338" t="s">
        <v>1848</v>
      </c>
      <c r="L338" t="s">
        <v>2203</v>
      </c>
    </row>
    <row r="339" spans="1:12" x14ac:dyDescent="0.25">
      <c r="A339" t="s">
        <v>52</v>
      </c>
      <c r="B339" t="s">
        <v>362</v>
      </c>
      <c r="C339" t="s">
        <v>758</v>
      </c>
      <c r="E339" s="6">
        <f t="shared" si="5"/>
        <v>0</v>
      </c>
      <c r="F339" s="9" t="str" cm="1">
        <f t="array" ref="F339">_xlfn.LET( _xlpm.original, E339,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39" t="s">
        <v>1198</v>
      </c>
      <c r="H339" t="s">
        <v>1379</v>
      </c>
      <c r="J339" t="s">
        <v>762</v>
      </c>
      <c r="K339" t="s">
        <v>1847</v>
      </c>
      <c r="L339" t="s">
        <v>2202</v>
      </c>
    </row>
    <row r="340" spans="1:12" x14ac:dyDescent="0.25">
      <c r="A340" t="s">
        <v>51</v>
      </c>
      <c r="B340" t="s">
        <v>361</v>
      </c>
      <c r="C340" t="s">
        <v>758</v>
      </c>
      <c r="D340" t="s">
        <v>817</v>
      </c>
      <c r="E340" s="6">
        <f t="shared" si="5"/>
        <v>2102701360</v>
      </c>
      <c r="F340" s="9" t="str" cm="1">
        <f t="array" ref="F340">_xlfn.LET( _xlpm.original, E340,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210 270 1360</v>
      </c>
      <c r="H340" t="s">
        <v>1378</v>
      </c>
      <c r="J340" t="s">
        <v>1786</v>
      </c>
      <c r="K340" t="s">
        <v>1847</v>
      </c>
      <c r="L340" t="s">
        <v>2201</v>
      </c>
    </row>
    <row r="341" spans="1:12" x14ac:dyDescent="0.25">
      <c r="A341" t="s">
        <v>50</v>
      </c>
      <c r="B341" t="s">
        <v>360</v>
      </c>
      <c r="C341" t="s">
        <v>761</v>
      </c>
      <c r="E341" s="6">
        <f t="shared" si="5"/>
        <v>0</v>
      </c>
      <c r="F341" s="9" t="str" cm="1">
        <f t="array" ref="F341">_xlfn.LET( _xlpm.original, E341,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41" t="s">
        <v>1197</v>
      </c>
      <c r="H341" t="s">
        <v>1377</v>
      </c>
      <c r="J341" t="s">
        <v>1790</v>
      </c>
      <c r="K341" t="s">
        <v>1847</v>
      </c>
      <c r="L341" t="s">
        <v>2200</v>
      </c>
    </row>
    <row r="342" spans="1:12" x14ac:dyDescent="0.25">
      <c r="A342" t="s">
        <v>49</v>
      </c>
      <c r="B342" t="s">
        <v>359</v>
      </c>
      <c r="C342" t="s">
        <v>758</v>
      </c>
      <c r="E342" s="6">
        <f t="shared" si="5"/>
        <v>0</v>
      </c>
      <c r="F342" s="9" t="str" cm="1">
        <f t="array" ref="F342">_xlfn.LET( _xlpm.original, E342,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42" t="s">
        <v>1196</v>
      </c>
      <c r="H342" t="s">
        <v>1376</v>
      </c>
      <c r="J342" t="s">
        <v>769</v>
      </c>
      <c r="K342" t="s">
        <v>1847</v>
      </c>
      <c r="L342" t="s">
        <v>2199</v>
      </c>
    </row>
    <row r="343" spans="1:12" x14ac:dyDescent="0.25">
      <c r="A343" t="s">
        <v>46</v>
      </c>
      <c r="B343" t="s">
        <v>358</v>
      </c>
      <c r="C343" t="s">
        <v>761</v>
      </c>
      <c r="D343" t="s">
        <v>816</v>
      </c>
      <c r="E343" s="6">
        <f t="shared" si="5"/>
        <v>224912928</v>
      </c>
      <c r="F343" s="9" t="str" cm="1">
        <f t="array" ref="F343">_xlfn.LET( _xlpm.original, E343,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022 491 2928</v>
      </c>
      <c r="G343" t="s">
        <v>1194</v>
      </c>
      <c r="H343" t="s">
        <v>1375</v>
      </c>
      <c r="J343" t="s">
        <v>761</v>
      </c>
      <c r="K343" t="s">
        <v>1847</v>
      </c>
      <c r="L343" t="s">
        <v>2198</v>
      </c>
    </row>
    <row r="344" spans="1:12" x14ac:dyDescent="0.25">
      <c r="A344" t="s">
        <v>48</v>
      </c>
      <c r="B344" t="s">
        <v>357</v>
      </c>
      <c r="C344" t="s">
        <v>758</v>
      </c>
      <c r="D344" t="s">
        <v>815</v>
      </c>
      <c r="E344" s="6">
        <f t="shared" si="5"/>
        <v>272931732</v>
      </c>
      <c r="F344" s="9" t="str" cm="1">
        <f t="array" ref="F344">_xlfn.LET( _xlpm.original, E344,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027 293 1732</v>
      </c>
      <c r="H344" t="s">
        <v>1374</v>
      </c>
      <c r="J344" t="s">
        <v>769</v>
      </c>
      <c r="K344" t="s">
        <v>1847</v>
      </c>
      <c r="L344" t="s">
        <v>2197</v>
      </c>
    </row>
    <row r="345" spans="1:12" x14ac:dyDescent="0.25">
      <c r="A345" t="s">
        <v>47</v>
      </c>
      <c r="B345" t="s">
        <v>356</v>
      </c>
      <c r="C345" t="s">
        <v>758</v>
      </c>
      <c r="D345" t="s">
        <v>814</v>
      </c>
      <c r="E345" s="6">
        <f t="shared" si="5"/>
        <v>21777152</v>
      </c>
      <c r="F345" s="9" t="str" cm="1">
        <f t="array" ref="F345">_xlfn.LET( _xlpm.original, E345,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021 777 152</v>
      </c>
      <c r="G345" t="s">
        <v>1195</v>
      </c>
      <c r="H345" t="s">
        <v>1373</v>
      </c>
      <c r="J345" t="s">
        <v>1786</v>
      </c>
      <c r="K345" t="s">
        <v>1847</v>
      </c>
      <c r="L345" t="s">
        <v>2196</v>
      </c>
    </row>
    <row r="346" spans="1:12" x14ac:dyDescent="0.25">
      <c r="A346" t="s">
        <v>46</v>
      </c>
      <c r="B346" t="s">
        <v>355</v>
      </c>
      <c r="C346" t="s">
        <v>758</v>
      </c>
      <c r="D346" t="s">
        <v>813</v>
      </c>
      <c r="E346" s="6">
        <f t="shared" si="5"/>
        <v>223449545</v>
      </c>
      <c r="F346" s="9" t="str" cm="1">
        <f t="array" ref="F346">_xlfn.LET( _xlpm.original, E346,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022 344 9545</v>
      </c>
      <c r="G346" t="s">
        <v>1194</v>
      </c>
      <c r="H346" t="s">
        <v>1372</v>
      </c>
      <c r="J346" t="s">
        <v>1786</v>
      </c>
      <c r="K346" t="s">
        <v>1847</v>
      </c>
      <c r="L346" t="s">
        <v>2195</v>
      </c>
    </row>
    <row r="347" spans="1:12" x14ac:dyDescent="0.25">
      <c r="A347" t="s">
        <v>45</v>
      </c>
      <c r="B347" t="s">
        <v>354</v>
      </c>
      <c r="C347" t="s">
        <v>758</v>
      </c>
      <c r="D347" t="s">
        <v>812</v>
      </c>
      <c r="E347" s="6">
        <f t="shared" si="5"/>
        <v>21985474</v>
      </c>
      <c r="F347" s="9" t="str" cm="1">
        <f t="array" ref="F347">_xlfn.LET( _xlpm.original, E347,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021 985 474</v>
      </c>
      <c r="G347" t="s">
        <v>1193</v>
      </c>
      <c r="H347" t="s">
        <v>1371</v>
      </c>
      <c r="J347" t="s">
        <v>1791</v>
      </c>
      <c r="K347" t="s">
        <v>1847</v>
      </c>
      <c r="L347" t="s">
        <v>2194</v>
      </c>
    </row>
    <row r="348" spans="1:12" x14ac:dyDescent="0.25">
      <c r="A348" t="s">
        <v>44</v>
      </c>
      <c r="B348" t="s">
        <v>353</v>
      </c>
      <c r="C348" t="s">
        <v>762</v>
      </c>
      <c r="D348" t="s">
        <v>811</v>
      </c>
      <c r="E348" s="6">
        <f t="shared" si="5"/>
        <v>2102250822</v>
      </c>
      <c r="F348" s="9" t="str" cm="1">
        <f t="array" ref="F348">_xlfn.LET( _xlpm.original, E348,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210 225 0822</v>
      </c>
      <c r="H348" t="s">
        <v>1370</v>
      </c>
      <c r="J348" t="s">
        <v>1790</v>
      </c>
      <c r="K348" t="s">
        <v>1846</v>
      </c>
      <c r="L348" t="s">
        <v>2193</v>
      </c>
    </row>
    <row r="349" spans="1:12" x14ac:dyDescent="0.25">
      <c r="A349" t="s">
        <v>43</v>
      </c>
      <c r="B349" t="s">
        <v>43</v>
      </c>
      <c r="C349" t="s">
        <v>758</v>
      </c>
      <c r="D349" t="s">
        <v>810</v>
      </c>
      <c r="E349" s="6">
        <f t="shared" si="5"/>
        <v>2102027784</v>
      </c>
      <c r="F349" s="9" t="str" cm="1">
        <f t="array" ref="F349">_xlfn.LET( _xlpm.original, E349,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210 202 7784</v>
      </c>
      <c r="H349" t="s">
        <v>1369</v>
      </c>
      <c r="J349" t="s">
        <v>1786</v>
      </c>
      <c r="K349" t="s">
        <v>1845</v>
      </c>
      <c r="L349" t="s">
        <v>2192</v>
      </c>
    </row>
    <row r="350" spans="1:12" x14ac:dyDescent="0.25">
      <c r="A350" t="s">
        <v>42</v>
      </c>
      <c r="B350" t="s">
        <v>352</v>
      </c>
      <c r="C350" t="s">
        <v>758</v>
      </c>
      <c r="D350" t="s">
        <v>809</v>
      </c>
      <c r="E350" s="6">
        <f t="shared" si="5"/>
        <v>21461616</v>
      </c>
      <c r="F350" s="9" t="str" cm="1">
        <f t="array" ref="F350">_xlfn.LET( _xlpm.original, E350,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021 461 616</v>
      </c>
      <c r="G350" t="s">
        <v>1192</v>
      </c>
      <c r="H350" t="s">
        <v>1368</v>
      </c>
      <c r="J350" t="s">
        <v>1788</v>
      </c>
      <c r="K350" t="s">
        <v>1844</v>
      </c>
      <c r="L350" t="s">
        <v>2191</v>
      </c>
    </row>
    <row r="351" spans="1:12" x14ac:dyDescent="0.25">
      <c r="A351" t="s">
        <v>41</v>
      </c>
      <c r="B351" t="s">
        <v>351</v>
      </c>
      <c r="C351" t="s">
        <v>758</v>
      </c>
      <c r="D351" t="s">
        <v>808</v>
      </c>
      <c r="E351" s="6">
        <f t="shared" si="5"/>
        <v>274954459</v>
      </c>
      <c r="F351" s="9" t="str" cm="1">
        <f t="array" ref="F351">_xlfn.LET( _xlpm.original, E351,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027 495 4459</v>
      </c>
      <c r="H351" t="s">
        <v>1367</v>
      </c>
      <c r="J351" t="s">
        <v>769</v>
      </c>
      <c r="K351" t="s">
        <v>1843</v>
      </c>
      <c r="L351" t="s">
        <v>2190</v>
      </c>
    </row>
    <row r="352" spans="1:12" x14ac:dyDescent="0.25">
      <c r="A352" t="s">
        <v>40</v>
      </c>
      <c r="B352" t="s">
        <v>350</v>
      </c>
      <c r="C352" t="s">
        <v>758</v>
      </c>
      <c r="D352" t="s">
        <v>807</v>
      </c>
      <c r="E352" s="6">
        <f t="shared" si="5"/>
        <v>272017670</v>
      </c>
      <c r="F352" s="9" t="str" cm="1">
        <f t="array" ref="F352">_xlfn.LET( _xlpm.original, E352,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027 201 7670</v>
      </c>
      <c r="H352" t="s">
        <v>1366</v>
      </c>
      <c r="J352" t="s">
        <v>1794</v>
      </c>
      <c r="K352" t="s">
        <v>1843</v>
      </c>
      <c r="L352" t="s">
        <v>2189</v>
      </c>
    </row>
    <row r="353" spans="1:12" x14ac:dyDescent="0.25">
      <c r="B353" t="s">
        <v>349</v>
      </c>
      <c r="C353" t="s">
        <v>758</v>
      </c>
      <c r="D353" t="s">
        <v>806</v>
      </c>
      <c r="E353" s="6">
        <f t="shared" si="5"/>
        <v>211067389</v>
      </c>
      <c r="F353" s="9" t="str" cm="1">
        <f t="array" ref="F353">_xlfn.LET( _xlpm.original, E353,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021 106 7389</v>
      </c>
      <c r="H353" t="s">
        <v>1365</v>
      </c>
      <c r="J353" t="s">
        <v>1793</v>
      </c>
      <c r="K353" t="s">
        <v>1843</v>
      </c>
      <c r="L353" t="s">
        <v>2188</v>
      </c>
    </row>
    <row r="354" spans="1:12" x14ac:dyDescent="0.25">
      <c r="A354" t="s">
        <v>39</v>
      </c>
      <c r="B354" t="s">
        <v>348</v>
      </c>
      <c r="C354" t="s">
        <v>760</v>
      </c>
      <c r="D354" t="s">
        <v>805</v>
      </c>
      <c r="E354" s="6">
        <f t="shared" si="5"/>
        <v>276634533</v>
      </c>
      <c r="F354" s="9" t="str" cm="1">
        <f t="array" ref="F354">_xlfn.LET( _xlpm.original, E354,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027 663 4533</v>
      </c>
      <c r="H354" t="s">
        <v>1364</v>
      </c>
      <c r="J354" t="s">
        <v>762</v>
      </c>
      <c r="K354" t="s">
        <v>1843</v>
      </c>
      <c r="L354" t="s">
        <v>2187</v>
      </c>
    </row>
    <row r="355" spans="1:12" x14ac:dyDescent="0.25">
      <c r="A355" t="s">
        <v>38</v>
      </c>
      <c r="B355" t="s">
        <v>347</v>
      </c>
      <c r="C355" t="s">
        <v>758</v>
      </c>
      <c r="D355" t="s">
        <v>804</v>
      </c>
      <c r="E355" s="6" t="e">
        <f t="shared" si="5"/>
        <v>#VALUE!</v>
      </c>
      <c r="F355" s="9" t="e" cm="1">
        <f t="array" ref="F355">_xlfn.LET( _xlpm.original, E355,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#VALUE!</v>
      </c>
      <c r="H355" t="s">
        <v>1363</v>
      </c>
      <c r="J355" t="s">
        <v>1786</v>
      </c>
      <c r="K355" t="s">
        <v>1842</v>
      </c>
      <c r="L355" t="s">
        <v>2186</v>
      </c>
    </row>
    <row r="356" spans="1:12" x14ac:dyDescent="0.25">
      <c r="A356" t="s">
        <v>8</v>
      </c>
      <c r="B356" t="s">
        <v>346</v>
      </c>
      <c r="C356" t="s">
        <v>758</v>
      </c>
      <c r="D356" t="s">
        <v>803</v>
      </c>
      <c r="E356" s="6">
        <f t="shared" si="5"/>
        <v>275674348</v>
      </c>
      <c r="F356" s="9" t="str" cm="1">
        <f t="array" ref="F356">_xlfn.LET( _xlpm.original, E356,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027 567 4348</v>
      </c>
      <c r="G356" t="s">
        <v>1191</v>
      </c>
      <c r="H356" t="s">
        <v>1362</v>
      </c>
      <c r="J356" t="s">
        <v>759</v>
      </c>
      <c r="K356" t="s">
        <v>1841</v>
      </c>
      <c r="L356" t="s">
        <v>2185</v>
      </c>
    </row>
    <row r="357" spans="1:12" x14ac:dyDescent="0.25">
      <c r="A357" t="s">
        <v>36</v>
      </c>
      <c r="B357" t="s">
        <v>345</v>
      </c>
      <c r="C357" t="s">
        <v>758</v>
      </c>
      <c r="E357" s="6">
        <f t="shared" si="5"/>
        <v>0</v>
      </c>
      <c r="F357" s="9" t="str" cm="1">
        <f t="array" ref="F357">_xlfn.LET( _xlpm.original, E357,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357" t="s">
        <v>1360</v>
      </c>
      <c r="J357" t="s">
        <v>758</v>
      </c>
      <c r="K357" t="s">
        <v>1840</v>
      </c>
      <c r="L357" t="s">
        <v>2184</v>
      </c>
    </row>
    <row r="358" spans="1:12" x14ac:dyDescent="0.25">
      <c r="A358" t="s">
        <v>37</v>
      </c>
      <c r="B358" t="s">
        <v>344</v>
      </c>
      <c r="C358" t="s">
        <v>758</v>
      </c>
      <c r="D358" t="s">
        <v>802</v>
      </c>
      <c r="E358" s="6">
        <f t="shared" si="5"/>
        <v>276066356</v>
      </c>
      <c r="F358" s="9" t="str" cm="1">
        <f t="array" ref="F358">_xlfn.LET( _xlpm.original, E358,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027 606 6356</v>
      </c>
      <c r="H358" t="s">
        <v>1361</v>
      </c>
      <c r="J358" t="s">
        <v>769</v>
      </c>
      <c r="K358" t="s">
        <v>1839</v>
      </c>
      <c r="L358" t="s">
        <v>2183</v>
      </c>
    </row>
    <row r="359" spans="1:12" x14ac:dyDescent="0.25">
      <c r="A359" t="s">
        <v>36</v>
      </c>
      <c r="B359" t="s">
        <v>343</v>
      </c>
      <c r="C359" t="s">
        <v>758</v>
      </c>
      <c r="E359" s="6">
        <f t="shared" si="5"/>
        <v>0</v>
      </c>
      <c r="F359" s="9" t="str" cm="1">
        <f t="array" ref="F359">_xlfn.LET( _xlpm.original, E359,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359" t="s">
        <v>1360</v>
      </c>
      <c r="J359" t="s">
        <v>1786</v>
      </c>
      <c r="K359" t="s">
        <v>1839</v>
      </c>
      <c r="L359" t="s">
        <v>2183</v>
      </c>
    </row>
    <row r="360" spans="1:12" x14ac:dyDescent="0.25">
      <c r="A360" t="s">
        <v>35</v>
      </c>
      <c r="B360" t="s">
        <v>342</v>
      </c>
      <c r="C360" t="s">
        <v>760</v>
      </c>
      <c r="D360" t="s">
        <v>801</v>
      </c>
      <c r="E360" s="6">
        <f t="shared" si="5"/>
        <v>224139832</v>
      </c>
      <c r="F360" s="9" t="str" cm="1">
        <f t="array" ref="F360">_xlfn.LET( _xlpm.original, E360,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022 413 9832</v>
      </c>
      <c r="G360" t="s">
        <v>1190</v>
      </c>
      <c r="H360" t="s">
        <v>1359</v>
      </c>
      <c r="J360" t="s">
        <v>1791</v>
      </c>
      <c r="K360" t="s">
        <v>1838</v>
      </c>
      <c r="L360" t="s">
        <v>2182</v>
      </c>
    </row>
    <row r="361" spans="1:12" x14ac:dyDescent="0.25">
      <c r="A361" t="s">
        <v>34</v>
      </c>
      <c r="B361" t="s">
        <v>341</v>
      </c>
      <c r="C361" t="s">
        <v>758</v>
      </c>
      <c r="D361" t="s">
        <v>800</v>
      </c>
      <c r="E361" s="6">
        <f t="shared" si="5"/>
        <v>21875368</v>
      </c>
      <c r="F361" s="9" t="str" cm="1">
        <f t="array" ref="F361">_xlfn.LET( _xlpm.original, E361,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021 875 368</v>
      </c>
      <c r="H361" t="s">
        <v>1358</v>
      </c>
      <c r="J361" t="s">
        <v>1786</v>
      </c>
      <c r="K361" t="s">
        <v>1837</v>
      </c>
      <c r="L361" t="s">
        <v>2181</v>
      </c>
    </row>
    <row r="362" spans="1:12" x14ac:dyDescent="0.25">
      <c r="A362" t="s">
        <v>33</v>
      </c>
      <c r="B362" t="s">
        <v>340</v>
      </c>
      <c r="C362" t="s">
        <v>761</v>
      </c>
      <c r="D362" t="s">
        <v>799</v>
      </c>
      <c r="E362" s="6">
        <f t="shared" si="5"/>
        <v>2102531089</v>
      </c>
      <c r="F362" s="9" t="str" cm="1">
        <f t="array" ref="F362">_xlfn.LET( _xlpm.original, E362,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210 253 1089</v>
      </c>
      <c r="H362" t="s">
        <v>1357</v>
      </c>
      <c r="J362" t="s">
        <v>1786</v>
      </c>
      <c r="K362" t="s">
        <v>1836</v>
      </c>
      <c r="L362" t="s">
        <v>2180</v>
      </c>
    </row>
    <row r="363" spans="1:12" x14ac:dyDescent="0.25">
      <c r="A363" t="s">
        <v>32</v>
      </c>
      <c r="B363" t="s">
        <v>339</v>
      </c>
      <c r="C363" t="s">
        <v>758</v>
      </c>
      <c r="D363" t="s">
        <v>798</v>
      </c>
      <c r="E363" s="6">
        <f t="shared" si="5"/>
        <v>272145661</v>
      </c>
      <c r="F363" s="9" t="str" cm="1">
        <f t="array" ref="F363">_xlfn.LET( _xlpm.original, E363,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027 214 5661</v>
      </c>
      <c r="H363" t="s">
        <v>1356</v>
      </c>
      <c r="J363" t="s">
        <v>1791</v>
      </c>
      <c r="K363" t="s">
        <v>1835</v>
      </c>
      <c r="L363" t="s">
        <v>2179</v>
      </c>
    </row>
    <row r="364" spans="1:12" x14ac:dyDescent="0.25">
      <c r="B364" t="s">
        <v>419</v>
      </c>
      <c r="C364" t="s">
        <v>759</v>
      </c>
      <c r="E364" s="6">
        <f t="shared" si="5"/>
        <v>0</v>
      </c>
      <c r="F364" s="9" t="str" cm="1">
        <f t="array" ref="F364">_xlfn.LET( _xlpm.original, E364,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64" t="s">
        <v>1221</v>
      </c>
      <c r="H364" t="s">
        <v>1438</v>
      </c>
      <c r="J364" t="s">
        <v>759</v>
      </c>
      <c r="K364" t="s">
        <v>1888</v>
      </c>
      <c r="L364" t="s">
        <v>2258</v>
      </c>
    </row>
    <row r="365" spans="1:12" x14ac:dyDescent="0.25">
      <c r="A365" t="s">
        <v>30</v>
      </c>
      <c r="B365" t="s">
        <v>337</v>
      </c>
      <c r="C365" t="s">
        <v>758</v>
      </c>
      <c r="D365" t="s">
        <v>796</v>
      </c>
      <c r="E365" s="6">
        <f t="shared" si="5"/>
        <v>21965616</v>
      </c>
      <c r="F365" s="9" t="str" cm="1">
        <f t="array" ref="F365">_xlfn.LET( _xlpm.original, E365,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021 965 616</v>
      </c>
      <c r="H365" t="s">
        <v>1354</v>
      </c>
      <c r="J365" t="s">
        <v>1789</v>
      </c>
      <c r="K365" t="s">
        <v>1833</v>
      </c>
      <c r="L365" t="s">
        <v>2177</v>
      </c>
    </row>
    <row r="366" spans="1:12" x14ac:dyDescent="0.25">
      <c r="A366" t="s">
        <v>96</v>
      </c>
      <c r="B366" t="s">
        <v>96</v>
      </c>
      <c r="C366" t="s">
        <v>758</v>
      </c>
      <c r="D366" t="s">
        <v>873</v>
      </c>
      <c r="E366" s="6">
        <f t="shared" si="5"/>
        <v>21073017</v>
      </c>
      <c r="F366" s="9" t="str" cm="1">
        <f t="array" ref="F366">_xlfn.LET( _xlpm.original, E366,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021 073 017</v>
      </c>
      <c r="H366" t="s">
        <v>1439</v>
      </c>
      <c r="J366" t="s">
        <v>1786</v>
      </c>
      <c r="K366" t="s">
        <v>1889</v>
      </c>
      <c r="L366" t="s">
        <v>2259</v>
      </c>
    </row>
    <row r="367" spans="1:12" x14ac:dyDescent="0.25">
      <c r="A367" t="s">
        <v>118</v>
      </c>
      <c r="B367" t="s">
        <v>446</v>
      </c>
      <c r="C367" t="s">
        <v>758</v>
      </c>
      <c r="D367" t="s">
        <v>897</v>
      </c>
      <c r="E367" s="6">
        <f t="shared" si="5"/>
        <v>21958218</v>
      </c>
      <c r="F367" s="9" t="str" cm="1">
        <f t="array" ref="F367">_xlfn.LET( _xlpm.original, E367,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021 958 218</v>
      </c>
      <c r="H367" t="s">
        <v>1468</v>
      </c>
      <c r="J367" t="s">
        <v>769</v>
      </c>
      <c r="K367" t="s">
        <v>1910</v>
      </c>
      <c r="L367" t="s">
        <v>2284</v>
      </c>
    </row>
    <row r="368" spans="1:12" x14ac:dyDescent="0.25">
      <c r="A368" t="s">
        <v>126</v>
      </c>
      <c r="B368" t="s">
        <v>499</v>
      </c>
      <c r="C368" t="s">
        <v>766</v>
      </c>
      <c r="E368" s="6">
        <f t="shared" si="5"/>
        <v>0</v>
      </c>
      <c r="F368" s="9" t="str" cm="1">
        <f t="array" ref="F368">_xlfn.LET( _xlpm.original, E368,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368" t="s">
        <v>1521</v>
      </c>
      <c r="J368" t="s">
        <v>766</v>
      </c>
      <c r="K368" t="s">
        <v>1954</v>
      </c>
      <c r="L368" t="s">
        <v>2331</v>
      </c>
    </row>
    <row r="369" spans="1:12" x14ac:dyDescent="0.25">
      <c r="A369" t="s">
        <v>145</v>
      </c>
      <c r="B369" t="s">
        <v>498</v>
      </c>
      <c r="C369" t="s">
        <v>758</v>
      </c>
      <c r="D369" t="s">
        <v>943</v>
      </c>
      <c r="E369" s="6">
        <f t="shared" si="5"/>
        <v>276200051</v>
      </c>
      <c r="F369" s="9" t="str" cm="1">
        <f t="array" ref="F369">_xlfn.LET( _xlpm.original, E369,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027 620 0051</v>
      </c>
      <c r="H369" t="s">
        <v>1520</v>
      </c>
      <c r="J369" t="s">
        <v>1788</v>
      </c>
      <c r="K369" t="s">
        <v>1953</v>
      </c>
      <c r="L369" t="s">
        <v>2330</v>
      </c>
    </row>
    <row r="370" spans="1:12" x14ac:dyDescent="0.25">
      <c r="A370" t="s">
        <v>15</v>
      </c>
      <c r="B370" t="s">
        <v>497</v>
      </c>
      <c r="C370" t="s">
        <v>759</v>
      </c>
      <c r="D370" t="s">
        <v>942</v>
      </c>
      <c r="E370" s="6">
        <f t="shared" si="5"/>
        <v>21993182</v>
      </c>
      <c r="F370" s="9" t="str" cm="1">
        <f t="array" ref="F370">_xlfn.LET( _xlpm.original, E370,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021 993 182</v>
      </c>
      <c r="H370" t="s">
        <v>1519</v>
      </c>
      <c r="J370" t="s">
        <v>759</v>
      </c>
      <c r="K370" t="s">
        <v>1952</v>
      </c>
      <c r="L370" t="s">
        <v>2329</v>
      </c>
    </row>
    <row r="371" spans="1:12" x14ac:dyDescent="0.25">
      <c r="A371" t="s">
        <v>25</v>
      </c>
      <c r="B371" t="s">
        <v>496</v>
      </c>
      <c r="C371" t="s">
        <v>758</v>
      </c>
      <c r="D371" t="s">
        <v>941</v>
      </c>
      <c r="E371" s="6">
        <f t="shared" si="5"/>
        <v>21726871</v>
      </c>
      <c r="F371" s="9" t="str" cm="1">
        <f t="array" ref="F371">_xlfn.LET( _xlpm.original, E371,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021 726 871</v>
      </c>
      <c r="G371" t="s">
        <v>1224</v>
      </c>
      <c r="H371" t="s">
        <v>1518</v>
      </c>
      <c r="J371" t="s">
        <v>1803</v>
      </c>
      <c r="K371" t="s">
        <v>1951</v>
      </c>
      <c r="L371" t="s">
        <v>2328</v>
      </c>
    </row>
    <row r="372" spans="1:12" x14ac:dyDescent="0.25">
      <c r="A372" t="s">
        <v>25</v>
      </c>
      <c r="B372" t="s">
        <v>495</v>
      </c>
      <c r="C372" t="s">
        <v>758</v>
      </c>
      <c r="D372" t="s">
        <v>941</v>
      </c>
      <c r="E372" s="6">
        <f t="shared" si="5"/>
        <v>21726871</v>
      </c>
      <c r="F372" s="9" t="str" cm="1">
        <f t="array" ref="F372">_xlfn.LET( _xlpm.original, E372,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021 726 871</v>
      </c>
      <c r="H372" t="s">
        <v>1518</v>
      </c>
      <c r="J372" t="s">
        <v>768</v>
      </c>
      <c r="K372" t="s">
        <v>1951</v>
      </c>
      <c r="L372" t="s">
        <v>2328</v>
      </c>
    </row>
    <row r="373" spans="1:12" x14ac:dyDescent="0.25">
      <c r="A373" t="s">
        <v>144</v>
      </c>
      <c r="B373" t="s">
        <v>494</v>
      </c>
      <c r="C373" t="s">
        <v>758</v>
      </c>
      <c r="D373" t="s">
        <v>940</v>
      </c>
      <c r="E373" s="6">
        <f t="shared" si="5"/>
        <v>276226342</v>
      </c>
      <c r="F373" s="9" t="str" cm="1">
        <f t="array" ref="F373">_xlfn.LET( _xlpm.original, E373,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027 622 6342</v>
      </c>
      <c r="G373" t="s">
        <v>1246</v>
      </c>
      <c r="H373" t="s">
        <v>1517</v>
      </c>
      <c r="J373" t="s">
        <v>1802</v>
      </c>
      <c r="K373" t="s">
        <v>1950</v>
      </c>
      <c r="L373" t="s">
        <v>2327</v>
      </c>
    </row>
    <row r="374" spans="1:12" x14ac:dyDescent="0.25">
      <c r="B374" t="s">
        <v>493</v>
      </c>
      <c r="C374" t="s">
        <v>758</v>
      </c>
      <c r="D374" t="s">
        <v>939</v>
      </c>
      <c r="E374" s="6">
        <f t="shared" si="5"/>
        <v>21334770</v>
      </c>
      <c r="F374" s="9" t="str" cm="1">
        <f t="array" ref="F374">_xlfn.LET( _xlpm.original, E374,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021 334 770</v>
      </c>
      <c r="H374" t="s">
        <v>1516</v>
      </c>
      <c r="J374" t="s">
        <v>1786</v>
      </c>
      <c r="K374" t="s">
        <v>1949</v>
      </c>
      <c r="L374" t="s">
        <v>2326</v>
      </c>
    </row>
    <row r="375" spans="1:12" x14ac:dyDescent="0.25">
      <c r="A375" t="s">
        <v>143</v>
      </c>
      <c r="B375" t="s">
        <v>492</v>
      </c>
      <c r="C375" t="s">
        <v>758</v>
      </c>
      <c r="E375" s="6">
        <f t="shared" si="5"/>
        <v>0</v>
      </c>
      <c r="F375" s="9" t="str" cm="1">
        <f t="array" ref="F375">_xlfn.LET( _xlpm.original, E375,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75" t="s">
        <v>1245</v>
      </c>
      <c r="H375" t="s">
        <v>1515</v>
      </c>
      <c r="J375" t="s">
        <v>1788</v>
      </c>
      <c r="K375" t="s">
        <v>1949</v>
      </c>
      <c r="L375" t="s">
        <v>2325</v>
      </c>
    </row>
    <row r="376" spans="1:12" x14ac:dyDescent="0.25">
      <c r="A376" t="s">
        <v>7</v>
      </c>
      <c r="B376" t="s">
        <v>491</v>
      </c>
      <c r="C376" t="s">
        <v>760</v>
      </c>
      <c r="D376" t="s">
        <v>938</v>
      </c>
      <c r="E376" s="6">
        <f t="shared" si="5"/>
        <v>273434077</v>
      </c>
      <c r="F376" s="9" t="str" cm="1">
        <f t="array" ref="F376">_xlfn.LET( _xlpm.original, E376,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027 343 4077</v>
      </c>
      <c r="H376" t="s">
        <v>1514</v>
      </c>
      <c r="J376" t="s">
        <v>1789</v>
      </c>
      <c r="K376" t="s">
        <v>1949</v>
      </c>
      <c r="L376" t="s">
        <v>2324</v>
      </c>
    </row>
    <row r="377" spans="1:12" x14ac:dyDescent="0.25">
      <c r="A377" t="s">
        <v>142</v>
      </c>
      <c r="B377" t="s">
        <v>490</v>
      </c>
      <c r="C377" t="s">
        <v>758</v>
      </c>
      <c r="E377" s="6">
        <f t="shared" si="5"/>
        <v>0</v>
      </c>
      <c r="F377" s="9" t="str" cm="1">
        <f t="array" ref="F377">_xlfn.LET( _xlpm.original, E377,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77" t="s">
        <v>1244</v>
      </c>
      <c r="H377" t="s">
        <v>1513</v>
      </c>
      <c r="J377" t="s">
        <v>769</v>
      </c>
      <c r="K377" t="s">
        <v>1948</v>
      </c>
      <c r="L377" t="s">
        <v>2323</v>
      </c>
    </row>
    <row r="378" spans="1:12" x14ac:dyDescent="0.25">
      <c r="A378" t="s">
        <v>71</v>
      </c>
      <c r="B378" t="s">
        <v>489</v>
      </c>
      <c r="C378" t="s">
        <v>758</v>
      </c>
      <c r="D378" t="s">
        <v>937</v>
      </c>
      <c r="E378" s="6">
        <f t="shared" si="5"/>
        <v>21609137</v>
      </c>
      <c r="F378" s="9" t="str" cm="1">
        <f t="array" ref="F378">_xlfn.LET( _xlpm.original, E378,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021 609 137</v>
      </c>
      <c r="G378" t="s">
        <v>1243</v>
      </c>
      <c r="H378" t="s">
        <v>1512</v>
      </c>
      <c r="J378" t="s">
        <v>1799</v>
      </c>
      <c r="K378" t="s">
        <v>1947</v>
      </c>
      <c r="L378" t="s">
        <v>1977</v>
      </c>
    </row>
    <row r="379" spans="1:12" x14ac:dyDescent="0.25">
      <c r="A379" t="s">
        <v>141</v>
      </c>
      <c r="B379" t="s">
        <v>488</v>
      </c>
      <c r="C379" t="s">
        <v>758</v>
      </c>
      <c r="D379" t="s">
        <v>936</v>
      </c>
      <c r="E379" s="6">
        <f t="shared" si="5"/>
        <v>21809290</v>
      </c>
      <c r="F379" s="9" t="str" cm="1">
        <f t="array" ref="F379">_xlfn.LET( _xlpm.original, E379,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021 809 290</v>
      </c>
      <c r="H379" t="s">
        <v>1511</v>
      </c>
      <c r="J379" t="s">
        <v>762</v>
      </c>
      <c r="K379" t="s">
        <v>1946</v>
      </c>
      <c r="L379" t="s">
        <v>2322</v>
      </c>
    </row>
    <row r="380" spans="1:12" ht="23.25" customHeight="1" x14ac:dyDescent="0.25">
      <c r="A380" t="s">
        <v>87</v>
      </c>
      <c r="B380" t="s">
        <v>487</v>
      </c>
      <c r="C380" t="s">
        <v>758</v>
      </c>
      <c r="D380" t="s">
        <v>2571</v>
      </c>
      <c r="E380" s="6">
        <v>210751200</v>
      </c>
      <c r="F380" s="9" t="str" cm="1">
        <f t="array" ref="F380">_xlfn.LET( _xlpm.original, E380,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021 075 1200</v>
      </c>
      <c r="G380" t="s">
        <v>1242</v>
      </c>
      <c r="H380" t="s">
        <v>1510</v>
      </c>
      <c r="J380" t="s">
        <v>762</v>
      </c>
      <c r="K380" t="s">
        <v>1945</v>
      </c>
      <c r="L380" t="s">
        <v>2321</v>
      </c>
    </row>
    <row r="381" spans="1:12" x14ac:dyDescent="0.25">
      <c r="A381" t="s">
        <v>140</v>
      </c>
      <c r="B381" t="s">
        <v>140</v>
      </c>
      <c r="C381" t="s">
        <v>758</v>
      </c>
      <c r="D381" t="s">
        <v>935</v>
      </c>
      <c r="E381" s="6">
        <f t="shared" si="5"/>
        <v>212788767</v>
      </c>
      <c r="F381" s="9" t="str" cm="1">
        <f t="array" ref="F381">_xlfn.LET( _xlpm.original, E381,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021 278 8767</v>
      </c>
      <c r="H381" t="s">
        <v>1509</v>
      </c>
      <c r="J381" t="s">
        <v>1786</v>
      </c>
      <c r="K381" t="s">
        <v>1944</v>
      </c>
      <c r="L381" t="s">
        <v>2320</v>
      </c>
    </row>
    <row r="382" spans="1:12" x14ac:dyDescent="0.25">
      <c r="B382" t="s">
        <v>486</v>
      </c>
      <c r="C382" t="s">
        <v>758</v>
      </c>
      <c r="D382" t="s">
        <v>935</v>
      </c>
      <c r="E382" s="6">
        <f t="shared" si="5"/>
        <v>212788767</v>
      </c>
      <c r="F382" s="9" t="str" cm="1">
        <f t="array" ref="F382">_xlfn.LET( _xlpm.original, E382,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021 278 8767</v>
      </c>
      <c r="J382" t="s">
        <v>1787</v>
      </c>
      <c r="K382" t="s">
        <v>1944</v>
      </c>
      <c r="L382" t="s">
        <v>2187</v>
      </c>
    </row>
    <row r="383" spans="1:12" x14ac:dyDescent="0.25">
      <c r="A383" t="s">
        <v>139</v>
      </c>
      <c r="B383" t="s">
        <v>485</v>
      </c>
      <c r="C383" t="s">
        <v>758</v>
      </c>
      <c r="D383" t="s">
        <v>934</v>
      </c>
      <c r="E383" s="6">
        <f t="shared" si="5"/>
        <v>211151806</v>
      </c>
      <c r="F383" s="9" t="str" cm="1">
        <f t="array" ref="F383">_xlfn.LET( _xlpm.original, E383,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021 115 1806</v>
      </c>
      <c r="G383" t="s">
        <v>1241</v>
      </c>
      <c r="H383" t="s">
        <v>1508</v>
      </c>
      <c r="J383" t="s">
        <v>762</v>
      </c>
      <c r="K383" t="s">
        <v>1943</v>
      </c>
      <c r="L383" t="s">
        <v>2319</v>
      </c>
    </row>
    <row r="384" spans="1:12" x14ac:dyDescent="0.25">
      <c r="A384" t="s">
        <v>88</v>
      </c>
      <c r="B384" t="s">
        <v>484</v>
      </c>
      <c r="C384" t="s">
        <v>758</v>
      </c>
      <c r="D384" t="s">
        <v>933</v>
      </c>
      <c r="E384" s="6">
        <f t="shared" si="5"/>
        <v>212351471</v>
      </c>
      <c r="F384" s="9" t="str" cm="1">
        <f t="array" ref="F384">_xlfn.LET( _xlpm.original, E384,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021 235 1471</v>
      </c>
      <c r="H384" t="s">
        <v>1507</v>
      </c>
      <c r="J384" t="s">
        <v>1791</v>
      </c>
      <c r="K384" t="s">
        <v>1942</v>
      </c>
      <c r="L384" t="s">
        <v>2318</v>
      </c>
    </row>
    <row r="385" spans="1:12" x14ac:dyDescent="0.25">
      <c r="A385" t="s">
        <v>138</v>
      </c>
      <c r="B385" t="s">
        <v>138</v>
      </c>
      <c r="C385" t="s">
        <v>758</v>
      </c>
      <c r="D385" t="s">
        <v>932</v>
      </c>
      <c r="E385" s="6">
        <f t="shared" si="5"/>
        <v>2041395031</v>
      </c>
      <c r="F385" s="9" t="str" cm="1">
        <f t="array" ref="F385">_xlfn.LET( _xlpm.original, E385,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204 139 5031</v>
      </c>
      <c r="H385" t="s">
        <v>1506</v>
      </c>
      <c r="J385" t="s">
        <v>1786</v>
      </c>
      <c r="K385" t="s">
        <v>1941</v>
      </c>
      <c r="L385" t="s">
        <v>2317</v>
      </c>
    </row>
    <row r="386" spans="1:12" x14ac:dyDescent="0.25">
      <c r="A386" t="s">
        <v>56</v>
      </c>
      <c r="B386" t="s">
        <v>483</v>
      </c>
      <c r="C386" t="s">
        <v>762</v>
      </c>
      <c r="D386" t="s">
        <v>931</v>
      </c>
      <c r="E386" s="6">
        <f t="shared" si="5"/>
        <v>212943136</v>
      </c>
      <c r="F386" s="9" t="str" cm="1">
        <f t="array" ref="F386">_xlfn.LET( _xlpm.original, E386,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021 294 3136</v>
      </c>
      <c r="G386" t="s">
        <v>1200</v>
      </c>
      <c r="H386" t="s">
        <v>1505</v>
      </c>
      <c r="J386" t="s">
        <v>762</v>
      </c>
      <c r="K386" t="s">
        <v>1940</v>
      </c>
      <c r="L386" t="s">
        <v>2316</v>
      </c>
    </row>
    <row r="387" spans="1:12" x14ac:dyDescent="0.25">
      <c r="B387" t="s">
        <v>482</v>
      </c>
      <c r="C387" t="s">
        <v>762</v>
      </c>
      <c r="D387" t="s">
        <v>930</v>
      </c>
      <c r="E387" s="6">
        <f t="shared" si="5"/>
        <v>220433443</v>
      </c>
      <c r="F387" s="9" t="str" cm="1">
        <f t="array" ref="F387">_xlfn.LET( _xlpm.original, E387,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022 043 3443</v>
      </c>
      <c r="H387" t="s">
        <v>1504</v>
      </c>
      <c r="J387" t="s">
        <v>762</v>
      </c>
      <c r="K387" t="s">
        <v>1940</v>
      </c>
      <c r="L387" t="s">
        <v>2315</v>
      </c>
    </row>
    <row r="388" spans="1:12" x14ac:dyDescent="0.25">
      <c r="A388" t="s">
        <v>17</v>
      </c>
      <c r="B388" t="s">
        <v>481</v>
      </c>
      <c r="C388" t="s">
        <v>758</v>
      </c>
      <c r="D388" t="s">
        <v>929</v>
      </c>
      <c r="E388" s="6">
        <f t="shared" ref="E388:E448" si="6">_xlfn.NUMBERVALUE(D388)</f>
        <v>226465455</v>
      </c>
      <c r="F388" s="9" t="str" cm="1">
        <f t="array" ref="F388">_xlfn.LET( _xlpm.original, E388,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022 646 5455</v>
      </c>
      <c r="G388" t="s">
        <v>1206</v>
      </c>
      <c r="H388" t="s">
        <v>1503</v>
      </c>
      <c r="J388" t="s">
        <v>762</v>
      </c>
      <c r="K388" t="s">
        <v>1940</v>
      </c>
      <c r="L388" t="s">
        <v>2314</v>
      </c>
    </row>
    <row r="389" spans="1:12" x14ac:dyDescent="0.25">
      <c r="A389" t="s">
        <v>137</v>
      </c>
      <c r="B389" t="s">
        <v>480</v>
      </c>
      <c r="C389" t="s">
        <v>758</v>
      </c>
      <c r="D389" t="s">
        <v>928</v>
      </c>
      <c r="E389" s="6">
        <f t="shared" si="6"/>
        <v>21515231</v>
      </c>
      <c r="F389" s="9" t="str" cm="1">
        <f t="array" ref="F389">_xlfn.LET( _xlpm.original, E389,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021 515 231</v>
      </c>
      <c r="H389" t="s">
        <v>1502</v>
      </c>
      <c r="J389" t="s">
        <v>1785</v>
      </c>
      <c r="K389" t="s">
        <v>1940</v>
      </c>
      <c r="L389" t="s">
        <v>2187</v>
      </c>
    </row>
    <row r="390" spans="1:12" x14ac:dyDescent="0.25">
      <c r="A390" t="s">
        <v>40</v>
      </c>
      <c r="B390" t="s">
        <v>479</v>
      </c>
      <c r="C390" t="s">
        <v>758</v>
      </c>
      <c r="D390" t="s">
        <v>927</v>
      </c>
      <c r="E390" s="6">
        <f t="shared" si="6"/>
        <v>275753815</v>
      </c>
      <c r="F390" s="9" t="str" cm="1">
        <f t="array" ref="F390">_xlfn.LET( _xlpm.original, E390,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027 575 3815</v>
      </c>
      <c r="H390" t="s">
        <v>1501</v>
      </c>
      <c r="J390" t="s">
        <v>768</v>
      </c>
      <c r="K390" t="s">
        <v>1940</v>
      </c>
      <c r="L390" t="s">
        <v>2313</v>
      </c>
    </row>
    <row r="391" spans="1:12" x14ac:dyDescent="0.25">
      <c r="A391" t="s">
        <v>136</v>
      </c>
      <c r="B391" t="s">
        <v>478</v>
      </c>
      <c r="C391" t="s">
        <v>760</v>
      </c>
      <c r="D391" t="s">
        <v>926</v>
      </c>
      <c r="E391" s="6">
        <f t="shared" si="6"/>
        <v>273903488</v>
      </c>
      <c r="F391" s="9" t="str" cm="1">
        <f t="array" ref="F391">_xlfn.LET( _xlpm.original, E391,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027 390 3488</v>
      </c>
      <c r="H391" t="s">
        <v>1500</v>
      </c>
      <c r="J391" t="s">
        <v>1791</v>
      </c>
      <c r="K391" t="s">
        <v>1939</v>
      </c>
      <c r="L391" t="s">
        <v>2312</v>
      </c>
    </row>
    <row r="392" spans="1:12" x14ac:dyDescent="0.25">
      <c r="A392" t="s">
        <v>135</v>
      </c>
      <c r="B392" t="s">
        <v>477</v>
      </c>
      <c r="C392" t="s">
        <v>761</v>
      </c>
      <c r="D392" t="s">
        <v>925</v>
      </c>
      <c r="E392" s="6">
        <f t="shared" si="6"/>
        <v>275911695</v>
      </c>
      <c r="F392" s="9" t="str" cm="1">
        <f t="array" ref="F392">_xlfn.LET( _xlpm.original, E392,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027 591 1695</v>
      </c>
      <c r="H392" t="s">
        <v>1499</v>
      </c>
      <c r="J392" t="s">
        <v>768</v>
      </c>
      <c r="K392" t="s">
        <v>1939</v>
      </c>
      <c r="L392" t="s">
        <v>2311</v>
      </c>
    </row>
    <row r="393" spans="1:12" x14ac:dyDescent="0.25">
      <c r="A393" t="s">
        <v>134</v>
      </c>
      <c r="B393" t="s">
        <v>476</v>
      </c>
      <c r="C393" t="s">
        <v>758</v>
      </c>
      <c r="D393" t="s">
        <v>924</v>
      </c>
      <c r="E393" s="6">
        <f t="shared" si="6"/>
        <v>21782110</v>
      </c>
      <c r="F393" s="9" t="str" cm="1">
        <f t="array" ref="F393">_xlfn.LET( _xlpm.original, E393,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021 782 110</v>
      </c>
      <c r="H393" t="s">
        <v>1498</v>
      </c>
      <c r="J393" t="s">
        <v>769</v>
      </c>
      <c r="K393" t="s">
        <v>1939</v>
      </c>
      <c r="L393" t="s">
        <v>2310</v>
      </c>
    </row>
    <row r="394" spans="1:12" x14ac:dyDescent="0.25">
      <c r="A394" t="s">
        <v>8</v>
      </c>
      <c r="B394" t="s">
        <v>500</v>
      </c>
      <c r="C394" t="s">
        <v>758</v>
      </c>
      <c r="D394" t="s">
        <v>944</v>
      </c>
      <c r="E394" s="6">
        <f t="shared" si="6"/>
        <v>276979372</v>
      </c>
      <c r="F394" s="9" t="str" cm="1">
        <f t="array" ref="F394">_xlfn.LET( _xlpm.original, E394,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027 697 9372</v>
      </c>
      <c r="H394" t="s">
        <v>1522</v>
      </c>
      <c r="J394" t="s">
        <v>759</v>
      </c>
      <c r="K394" t="s">
        <v>1955</v>
      </c>
      <c r="L394" t="s">
        <v>2332</v>
      </c>
    </row>
    <row r="395" spans="1:12" x14ac:dyDescent="0.25">
      <c r="A395" t="s">
        <v>93</v>
      </c>
      <c r="B395" t="s">
        <v>501</v>
      </c>
      <c r="C395" t="s">
        <v>758</v>
      </c>
      <c r="D395" t="s">
        <v>945</v>
      </c>
      <c r="E395" s="6">
        <f t="shared" si="6"/>
        <v>220105686</v>
      </c>
      <c r="F395" s="9" t="str" cm="1">
        <f t="array" ref="F395">_xlfn.LET( _xlpm.original, E395,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022 010 5686</v>
      </c>
      <c r="H395" t="s">
        <v>1523</v>
      </c>
      <c r="J395" t="s">
        <v>762</v>
      </c>
      <c r="K395" t="s">
        <v>1956</v>
      </c>
      <c r="L395" t="s">
        <v>2333</v>
      </c>
    </row>
    <row r="396" spans="1:12" x14ac:dyDescent="0.25">
      <c r="A396" t="s">
        <v>146</v>
      </c>
      <c r="B396" t="s">
        <v>502</v>
      </c>
      <c r="C396" t="s">
        <v>758</v>
      </c>
      <c r="E396" s="6">
        <f t="shared" si="6"/>
        <v>0</v>
      </c>
      <c r="F396" s="9" t="str" cm="1">
        <f t="array" ref="F396">_xlfn.LET( _xlpm.original, E396,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96" t="s">
        <v>1247</v>
      </c>
      <c r="H396" t="s">
        <v>1524</v>
      </c>
      <c r="J396" t="s">
        <v>758</v>
      </c>
      <c r="K396" t="s">
        <v>1957</v>
      </c>
      <c r="L396" t="s">
        <v>2130</v>
      </c>
    </row>
    <row r="397" spans="1:12" x14ac:dyDescent="0.25">
      <c r="A397" t="s">
        <v>156</v>
      </c>
      <c r="B397" t="s">
        <v>517</v>
      </c>
      <c r="C397" t="s">
        <v>758</v>
      </c>
      <c r="E397" s="6">
        <f t="shared" si="6"/>
        <v>0</v>
      </c>
      <c r="F397" s="9" t="str" cm="1">
        <f t="array" ref="F397">_xlfn.LET( _xlpm.original, E397,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397" t="s">
        <v>1251</v>
      </c>
      <c r="H397" t="s">
        <v>1539</v>
      </c>
      <c r="J397" t="s">
        <v>1786</v>
      </c>
      <c r="K397" t="s">
        <v>1970</v>
      </c>
      <c r="L397" t="s">
        <v>2348</v>
      </c>
    </row>
    <row r="398" spans="1:12" x14ac:dyDescent="0.25">
      <c r="A398" t="s">
        <v>164</v>
      </c>
      <c r="B398" t="s">
        <v>164</v>
      </c>
      <c r="C398" t="s">
        <v>758</v>
      </c>
      <c r="E398" s="6">
        <f t="shared" si="6"/>
        <v>0</v>
      </c>
      <c r="F398" s="9" t="str" cm="1">
        <f t="array" ref="F398">_xlfn.LET( _xlpm.original, E398,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398" t="s">
        <v>1551</v>
      </c>
      <c r="J398" t="s">
        <v>1786</v>
      </c>
      <c r="K398" t="s">
        <v>1978</v>
      </c>
      <c r="L398" t="s">
        <v>2358</v>
      </c>
    </row>
    <row r="399" spans="1:12" x14ac:dyDescent="0.25">
      <c r="A399" t="s">
        <v>163</v>
      </c>
      <c r="B399" t="s">
        <v>527</v>
      </c>
      <c r="C399" t="s">
        <v>758</v>
      </c>
      <c r="D399" t="s">
        <v>968</v>
      </c>
      <c r="E399" s="6">
        <f t="shared" si="6"/>
        <v>273275922</v>
      </c>
      <c r="F399" s="9" t="str" cm="1">
        <f t="array" ref="F399">_xlfn.LET( _xlpm.original, E399,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027 327 5922</v>
      </c>
      <c r="H399" t="s">
        <v>1550</v>
      </c>
      <c r="J399" t="s">
        <v>769</v>
      </c>
      <c r="K399" t="s">
        <v>1977</v>
      </c>
      <c r="L399" t="s">
        <v>2357</v>
      </c>
    </row>
    <row r="400" spans="1:12" x14ac:dyDescent="0.25">
      <c r="A400" t="s">
        <v>98</v>
      </c>
      <c r="B400" t="s">
        <v>526</v>
      </c>
      <c r="C400" t="s">
        <v>761</v>
      </c>
      <c r="D400" t="s">
        <v>967</v>
      </c>
      <c r="E400" s="6">
        <f t="shared" si="6"/>
        <v>21454161</v>
      </c>
      <c r="F400" s="9" t="str" cm="1">
        <f t="array" ref="F400">_xlfn.LET( _xlpm.original, E400,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021 454 161</v>
      </c>
      <c r="H400" t="s">
        <v>1549</v>
      </c>
      <c r="J400" t="s">
        <v>769</v>
      </c>
      <c r="K400" t="s">
        <v>1977</v>
      </c>
      <c r="L400" t="s">
        <v>2356</v>
      </c>
    </row>
    <row r="401" spans="1:12" x14ac:dyDescent="0.25">
      <c r="A401" t="s">
        <v>162</v>
      </c>
      <c r="B401" t="s">
        <v>525</v>
      </c>
      <c r="C401" t="s">
        <v>758</v>
      </c>
      <c r="D401" t="s">
        <v>966</v>
      </c>
      <c r="E401" s="6">
        <f t="shared" si="6"/>
        <v>278386775</v>
      </c>
      <c r="F401" s="9" t="str" cm="1">
        <f t="array" ref="F401">_xlfn.LET( _xlpm.original, E401,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027 838 6775</v>
      </c>
      <c r="G401" t="s">
        <v>1252</v>
      </c>
      <c r="H401" t="s">
        <v>1548</v>
      </c>
      <c r="J401" t="s">
        <v>1802</v>
      </c>
      <c r="K401" t="s">
        <v>1977</v>
      </c>
      <c r="L401" t="s">
        <v>2355</v>
      </c>
    </row>
    <row r="402" spans="1:12" x14ac:dyDescent="0.25">
      <c r="A402" t="s">
        <v>161</v>
      </c>
      <c r="B402" t="s">
        <v>524</v>
      </c>
      <c r="C402" t="s">
        <v>758</v>
      </c>
      <c r="D402" t="s">
        <v>965</v>
      </c>
      <c r="E402" s="6">
        <f t="shared" si="6"/>
        <v>211280989</v>
      </c>
      <c r="F402" s="9" t="str" cm="1">
        <f t="array" ref="F402">_xlfn.LET( _xlpm.original, E402,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021 128 0989</v>
      </c>
      <c r="H402" t="s">
        <v>1547</v>
      </c>
      <c r="J402" t="s">
        <v>769</v>
      </c>
      <c r="K402" t="s">
        <v>1977</v>
      </c>
      <c r="L402" t="s">
        <v>2354</v>
      </c>
    </row>
    <row r="403" spans="1:12" x14ac:dyDescent="0.25">
      <c r="A403" t="s">
        <v>144</v>
      </c>
      <c r="B403" t="s">
        <v>523</v>
      </c>
      <c r="C403" t="s">
        <v>758</v>
      </c>
      <c r="E403" s="6">
        <f t="shared" si="6"/>
        <v>0</v>
      </c>
      <c r="F403" s="9" t="str" cm="1">
        <f t="array" ref="F403">_xlfn.LET( _xlpm.original, E403,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403" t="s">
        <v>1546</v>
      </c>
      <c r="J403" t="s">
        <v>1791</v>
      </c>
      <c r="K403" t="s">
        <v>1977</v>
      </c>
      <c r="L403" t="s">
        <v>2150</v>
      </c>
    </row>
    <row r="404" spans="1:12" x14ac:dyDescent="0.25">
      <c r="A404" t="s">
        <v>114</v>
      </c>
      <c r="B404" t="s">
        <v>522</v>
      </c>
      <c r="C404" t="s">
        <v>758</v>
      </c>
      <c r="D404" t="s">
        <v>964</v>
      </c>
      <c r="E404" s="6">
        <f t="shared" si="6"/>
        <v>274065146</v>
      </c>
      <c r="F404" s="9" t="str" cm="1">
        <f t="array" ref="F404">_xlfn.LET( _xlpm.original, E404,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027 406 5146</v>
      </c>
      <c r="H404" t="s">
        <v>1545</v>
      </c>
      <c r="J404" t="s">
        <v>768</v>
      </c>
      <c r="K404" t="s">
        <v>1976</v>
      </c>
      <c r="L404" t="s">
        <v>2353</v>
      </c>
    </row>
    <row r="405" spans="1:12" x14ac:dyDescent="0.25">
      <c r="B405" t="s">
        <v>521</v>
      </c>
      <c r="C405" t="s">
        <v>759</v>
      </c>
      <c r="D405" t="s">
        <v>963</v>
      </c>
      <c r="E405" s="6">
        <f t="shared" si="6"/>
        <v>98877420</v>
      </c>
      <c r="F405" s="9" t="str" cm="1">
        <f t="array" ref="F405">_xlfn.LET( _xlpm.original, E405,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098 877 420</v>
      </c>
      <c r="H405" t="s">
        <v>1544</v>
      </c>
      <c r="J405" t="s">
        <v>759</v>
      </c>
      <c r="K405" t="s">
        <v>1975</v>
      </c>
      <c r="L405" t="s">
        <v>2352</v>
      </c>
    </row>
    <row r="406" spans="1:12" x14ac:dyDescent="0.25">
      <c r="A406" t="s">
        <v>160</v>
      </c>
      <c r="B406" t="s">
        <v>520</v>
      </c>
      <c r="C406" t="s">
        <v>758</v>
      </c>
      <c r="D406" t="s">
        <v>962</v>
      </c>
      <c r="E406" s="6">
        <f t="shared" si="6"/>
        <v>226007868</v>
      </c>
      <c r="F406" s="9" t="str" cm="1">
        <f t="array" ref="F406">_xlfn.LET( _xlpm.original, E406,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022 600 7868</v>
      </c>
      <c r="H406" t="s">
        <v>1543</v>
      </c>
      <c r="J406" t="s">
        <v>1786</v>
      </c>
      <c r="K406" t="s">
        <v>1974</v>
      </c>
      <c r="L406" t="s">
        <v>160</v>
      </c>
    </row>
    <row r="407" spans="1:12" x14ac:dyDescent="0.25">
      <c r="A407" t="s">
        <v>159</v>
      </c>
      <c r="B407" t="s">
        <v>519</v>
      </c>
      <c r="C407" t="s">
        <v>758</v>
      </c>
      <c r="D407" t="s">
        <v>961</v>
      </c>
      <c r="E407" s="6">
        <f t="shared" si="6"/>
        <v>275144471</v>
      </c>
      <c r="F407" s="9" t="str" cm="1">
        <f t="array" ref="F407">_xlfn.LET( _xlpm.original, E407,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027 514 4471</v>
      </c>
      <c r="H407" t="s">
        <v>1542</v>
      </c>
      <c r="J407" t="s">
        <v>769</v>
      </c>
      <c r="K407" t="s">
        <v>1973</v>
      </c>
      <c r="L407" t="s">
        <v>2351</v>
      </c>
    </row>
    <row r="408" spans="1:12" x14ac:dyDescent="0.25">
      <c r="A408" t="s">
        <v>158</v>
      </c>
      <c r="B408" t="s">
        <v>158</v>
      </c>
      <c r="C408" t="s">
        <v>758</v>
      </c>
      <c r="D408" t="s">
        <v>960</v>
      </c>
      <c r="E408" s="6">
        <f t="shared" si="6"/>
        <v>275112500</v>
      </c>
      <c r="F408" s="9" t="str" cm="1">
        <f t="array" ref="F408">_xlfn.LET( _xlpm.original, E408,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027 511 2500</v>
      </c>
      <c r="H408" t="s">
        <v>1541</v>
      </c>
      <c r="J408" t="s">
        <v>1786</v>
      </c>
      <c r="K408" t="s">
        <v>1972</v>
      </c>
      <c r="L408" t="s">
        <v>2350</v>
      </c>
    </row>
    <row r="409" spans="1:12" x14ac:dyDescent="0.25">
      <c r="A409" t="s">
        <v>157</v>
      </c>
      <c r="B409" t="s">
        <v>518</v>
      </c>
      <c r="C409" t="s">
        <v>758</v>
      </c>
      <c r="D409" t="s">
        <v>959</v>
      </c>
      <c r="E409" s="6">
        <f t="shared" si="6"/>
        <v>21488990</v>
      </c>
      <c r="F409" s="9" t="str" cm="1">
        <f t="array" ref="F409">_xlfn.LET( _xlpm.original, E409,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021 488 990</v>
      </c>
      <c r="H409" t="s">
        <v>1540</v>
      </c>
      <c r="J409" t="s">
        <v>1786</v>
      </c>
      <c r="K409" t="s">
        <v>1971</v>
      </c>
      <c r="L409" t="s">
        <v>2349</v>
      </c>
    </row>
    <row r="410" spans="1:12" x14ac:dyDescent="0.25">
      <c r="A410" t="s">
        <v>53</v>
      </c>
      <c r="B410" t="s">
        <v>516</v>
      </c>
      <c r="C410" t="s">
        <v>761</v>
      </c>
      <c r="D410" t="s">
        <v>958</v>
      </c>
      <c r="E410" s="6">
        <f t="shared" si="6"/>
        <v>212083796</v>
      </c>
      <c r="F410" s="9" t="str" cm="1">
        <f t="array" ref="F410">_xlfn.LET( _xlpm.original, E410,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021 208 3796</v>
      </c>
      <c r="H410" t="s">
        <v>1538</v>
      </c>
      <c r="J410" t="s">
        <v>1794</v>
      </c>
      <c r="K410" t="s">
        <v>1969</v>
      </c>
      <c r="L410" t="s">
        <v>2347</v>
      </c>
    </row>
    <row r="411" spans="1:12" x14ac:dyDescent="0.25">
      <c r="A411" t="s">
        <v>109</v>
      </c>
      <c r="B411" t="s">
        <v>503</v>
      </c>
      <c r="C411" t="s">
        <v>758</v>
      </c>
      <c r="D411" t="s">
        <v>946</v>
      </c>
      <c r="E411" s="6">
        <f t="shared" si="6"/>
        <v>211778876</v>
      </c>
      <c r="F411" s="9" t="str" cm="1">
        <f t="array" ref="F411">_xlfn.LET( _xlpm.original, E411,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021 177 8876</v>
      </c>
      <c r="H411" t="s">
        <v>1525</v>
      </c>
      <c r="J411" t="s">
        <v>769</v>
      </c>
      <c r="K411" t="s">
        <v>1958</v>
      </c>
      <c r="L411" t="s">
        <v>2334</v>
      </c>
    </row>
    <row r="412" spans="1:12" x14ac:dyDescent="0.25">
      <c r="A412" t="s">
        <v>155</v>
      </c>
      <c r="B412" t="s">
        <v>515</v>
      </c>
      <c r="C412" t="s">
        <v>760</v>
      </c>
      <c r="D412" t="s">
        <v>957</v>
      </c>
      <c r="E412" s="6">
        <f t="shared" si="6"/>
        <v>21953700</v>
      </c>
      <c r="F412" s="9" t="str" cm="1">
        <f t="array" ref="F412">_xlfn.LET( _xlpm.original, E412,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021 953 700</v>
      </c>
      <c r="H412" t="s">
        <v>1537</v>
      </c>
      <c r="J412" t="s">
        <v>1789</v>
      </c>
      <c r="K412" t="s">
        <v>1958</v>
      </c>
      <c r="L412" t="s">
        <v>2346</v>
      </c>
    </row>
    <row r="413" spans="1:12" x14ac:dyDescent="0.25">
      <c r="A413" t="s">
        <v>69</v>
      </c>
      <c r="B413" t="s">
        <v>514</v>
      </c>
      <c r="C413" t="s">
        <v>758</v>
      </c>
      <c r="D413" t="s">
        <v>956</v>
      </c>
      <c r="E413" s="6">
        <f t="shared" si="6"/>
        <v>21995736</v>
      </c>
      <c r="F413" s="9" t="str" cm="1">
        <f t="array" ref="F413">_xlfn.LET( _xlpm.original, E413,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021 995 736</v>
      </c>
      <c r="H413" t="s">
        <v>1536</v>
      </c>
      <c r="J413" t="s">
        <v>762</v>
      </c>
      <c r="K413" t="s">
        <v>1968</v>
      </c>
      <c r="L413" t="s">
        <v>2345</v>
      </c>
    </row>
    <row r="414" spans="1:12" x14ac:dyDescent="0.25">
      <c r="A414" t="s">
        <v>154</v>
      </c>
      <c r="B414" t="s">
        <v>513</v>
      </c>
      <c r="C414" t="s">
        <v>758</v>
      </c>
      <c r="D414" t="s">
        <v>955</v>
      </c>
      <c r="E414" s="6">
        <f t="shared" si="6"/>
        <v>212956174</v>
      </c>
      <c r="F414" s="9" t="str" cm="1">
        <f t="array" ref="F414">_xlfn.LET( _xlpm.original, E414,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021 295 6174</v>
      </c>
      <c r="H414" t="s">
        <v>1535</v>
      </c>
      <c r="J414" t="s">
        <v>758</v>
      </c>
      <c r="K414" t="s">
        <v>1967</v>
      </c>
      <c r="L414" t="s">
        <v>2344</v>
      </c>
    </row>
    <row r="415" spans="1:12" x14ac:dyDescent="0.25">
      <c r="A415" t="s">
        <v>153</v>
      </c>
      <c r="B415" t="s">
        <v>512</v>
      </c>
      <c r="C415" t="s">
        <v>758</v>
      </c>
      <c r="E415" s="6">
        <f t="shared" si="6"/>
        <v>0</v>
      </c>
      <c r="F415" s="9" t="str" cm="1">
        <f t="array" ref="F415">_xlfn.LET( _xlpm.original, E415,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415" t="s">
        <v>1250</v>
      </c>
      <c r="H415" t="s">
        <v>1534</v>
      </c>
      <c r="J415" t="s">
        <v>764</v>
      </c>
      <c r="K415" t="s">
        <v>1966</v>
      </c>
      <c r="L415" t="s">
        <v>2343</v>
      </c>
    </row>
    <row r="416" spans="1:12" x14ac:dyDescent="0.25">
      <c r="A416" t="s">
        <v>152</v>
      </c>
      <c r="B416" t="s">
        <v>511</v>
      </c>
      <c r="C416" t="s">
        <v>758</v>
      </c>
      <c r="D416" t="s">
        <v>954</v>
      </c>
      <c r="E416" s="6">
        <f t="shared" si="6"/>
        <v>210610151</v>
      </c>
      <c r="F416" s="9" t="str" cm="1">
        <f t="array" ref="F416">_xlfn.LET( _xlpm.original, E416,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021 061 0151</v>
      </c>
      <c r="H416" t="s">
        <v>1533</v>
      </c>
      <c r="J416" t="s">
        <v>769</v>
      </c>
      <c r="K416" t="s">
        <v>1965</v>
      </c>
      <c r="L416" t="s">
        <v>2342</v>
      </c>
    </row>
    <row r="417" spans="1:12" x14ac:dyDescent="0.25">
      <c r="A417" t="s">
        <v>25</v>
      </c>
      <c r="B417" t="s">
        <v>510</v>
      </c>
      <c r="C417" t="s">
        <v>758</v>
      </c>
      <c r="D417" t="s">
        <v>953</v>
      </c>
      <c r="E417" s="6">
        <f t="shared" si="6"/>
        <v>21313705</v>
      </c>
      <c r="F417" s="9" t="str" cm="1">
        <f t="array" ref="F417">_xlfn.LET( _xlpm.original, E417,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021 313 705</v>
      </c>
      <c r="H417" t="s">
        <v>1532</v>
      </c>
      <c r="J417" t="s">
        <v>1790</v>
      </c>
      <c r="K417" t="s">
        <v>1964</v>
      </c>
      <c r="L417" t="s">
        <v>2341</v>
      </c>
    </row>
    <row r="418" spans="1:12" x14ac:dyDescent="0.25">
      <c r="A418" t="s">
        <v>151</v>
      </c>
      <c r="B418" t="s">
        <v>509</v>
      </c>
      <c r="C418" t="s">
        <v>758</v>
      </c>
      <c r="D418" t="s">
        <v>952</v>
      </c>
      <c r="E418" s="6">
        <f t="shared" si="6"/>
        <v>221350646</v>
      </c>
      <c r="F418" s="9" t="str" cm="1">
        <f t="array" ref="F418">_xlfn.LET( _xlpm.original, E418,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022 135 0646</v>
      </c>
      <c r="G418" t="s">
        <v>1249</v>
      </c>
      <c r="H418" t="s">
        <v>1531</v>
      </c>
      <c r="J418" t="s">
        <v>762</v>
      </c>
      <c r="K418" t="s">
        <v>1963</v>
      </c>
      <c r="L418" t="s">
        <v>2340</v>
      </c>
    </row>
    <row r="419" spans="1:12" x14ac:dyDescent="0.25">
      <c r="A419" t="s">
        <v>150</v>
      </c>
      <c r="B419" t="s">
        <v>508</v>
      </c>
      <c r="C419" t="s">
        <v>758</v>
      </c>
      <c r="D419" t="s">
        <v>951</v>
      </c>
      <c r="E419" s="6">
        <f t="shared" si="6"/>
        <v>211861151</v>
      </c>
      <c r="F419" s="9" t="str" cm="1">
        <f t="array" ref="F419">_xlfn.LET( _xlpm.original, E419,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021 186 1151</v>
      </c>
      <c r="H419" t="s">
        <v>1530</v>
      </c>
      <c r="J419" t="s">
        <v>762</v>
      </c>
      <c r="K419" t="s">
        <v>1962</v>
      </c>
      <c r="L419" t="s">
        <v>2339</v>
      </c>
    </row>
    <row r="420" spans="1:12" x14ac:dyDescent="0.25">
      <c r="A420" t="s">
        <v>114</v>
      </c>
      <c r="B420" t="s">
        <v>507</v>
      </c>
      <c r="C420" t="s">
        <v>758</v>
      </c>
      <c r="D420" t="s">
        <v>950</v>
      </c>
      <c r="E420" s="6">
        <f t="shared" si="6"/>
        <v>275296269</v>
      </c>
      <c r="F420" s="9" t="str" cm="1">
        <f t="array" ref="F420">_xlfn.LET( _xlpm.original, E420,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027 529 6269</v>
      </c>
      <c r="G420" t="s">
        <v>1248</v>
      </c>
      <c r="H420" t="s">
        <v>1529</v>
      </c>
      <c r="J420" t="s">
        <v>768</v>
      </c>
      <c r="K420" t="s">
        <v>1961</v>
      </c>
      <c r="L420" t="s">
        <v>2338</v>
      </c>
    </row>
    <row r="421" spans="1:12" x14ac:dyDescent="0.25">
      <c r="A421" t="s">
        <v>149</v>
      </c>
      <c r="B421" t="s">
        <v>506</v>
      </c>
      <c r="C421" t="s">
        <v>758</v>
      </c>
      <c r="D421" t="s">
        <v>949</v>
      </c>
      <c r="E421" s="6">
        <f t="shared" si="6"/>
        <v>21983583</v>
      </c>
      <c r="F421" s="9" t="str" cm="1">
        <f t="array" ref="F421">_xlfn.LET( _xlpm.original, E421,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021 983 583</v>
      </c>
      <c r="H421" t="s">
        <v>1528</v>
      </c>
      <c r="J421" t="s">
        <v>1787</v>
      </c>
      <c r="K421" t="s">
        <v>1960</v>
      </c>
      <c r="L421" t="s">
        <v>2337</v>
      </c>
    </row>
    <row r="422" spans="1:12" x14ac:dyDescent="0.25">
      <c r="A422" t="s">
        <v>148</v>
      </c>
      <c r="B422" t="s">
        <v>505</v>
      </c>
      <c r="C422" t="s">
        <v>758</v>
      </c>
      <c r="D422" t="s">
        <v>948</v>
      </c>
      <c r="E422" s="6">
        <f t="shared" si="6"/>
        <v>21612380</v>
      </c>
      <c r="F422" s="9" t="str" cm="1">
        <f t="array" ref="F422">_xlfn.LET( _xlpm.original, E422,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021 612 380</v>
      </c>
      <c r="H422" t="s">
        <v>1527</v>
      </c>
      <c r="J422" t="s">
        <v>1786</v>
      </c>
      <c r="K422" t="s">
        <v>1959</v>
      </c>
      <c r="L422" t="s">
        <v>2336</v>
      </c>
    </row>
    <row r="423" spans="1:12" x14ac:dyDescent="0.25">
      <c r="A423" t="s">
        <v>147</v>
      </c>
      <c r="B423" t="s">
        <v>504</v>
      </c>
      <c r="C423" t="s">
        <v>758</v>
      </c>
      <c r="D423" t="s">
        <v>947</v>
      </c>
      <c r="E423" s="6">
        <f t="shared" si="6"/>
        <v>211631099</v>
      </c>
      <c r="F423" s="9" t="str" cm="1">
        <f t="array" ref="F423">_xlfn.LET( _xlpm.original, E423,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021 163 1099</v>
      </c>
      <c r="H423" t="s">
        <v>1526</v>
      </c>
      <c r="J423" t="s">
        <v>769</v>
      </c>
      <c r="K423" t="s">
        <v>1959</v>
      </c>
      <c r="L423" t="s">
        <v>2335</v>
      </c>
    </row>
    <row r="424" spans="1:12" x14ac:dyDescent="0.25">
      <c r="A424" t="s">
        <v>133</v>
      </c>
      <c r="B424" t="s">
        <v>475</v>
      </c>
      <c r="C424" t="s">
        <v>758</v>
      </c>
      <c r="D424" t="s">
        <v>923</v>
      </c>
      <c r="E424" s="6">
        <f t="shared" si="6"/>
        <v>212777975</v>
      </c>
      <c r="F424" s="9" t="str" cm="1">
        <f t="array" ref="F424">_xlfn.LET( _xlpm.original, E424,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021 277 7975</v>
      </c>
      <c r="H424" t="s">
        <v>1497</v>
      </c>
      <c r="J424" t="s">
        <v>759</v>
      </c>
      <c r="K424" t="s">
        <v>1938</v>
      </c>
      <c r="L424" t="s">
        <v>2309</v>
      </c>
    </row>
    <row r="425" spans="1:12" x14ac:dyDescent="0.25">
      <c r="A425" t="s">
        <v>91</v>
      </c>
      <c r="B425" t="s">
        <v>474</v>
      </c>
      <c r="C425" t="s">
        <v>758</v>
      </c>
      <c r="D425" t="s">
        <v>922</v>
      </c>
      <c r="E425" s="6">
        <f t="shared" si="6"/>
        <v>21777081</v>
      </c>
      <c r="F425" s="9" t="str" cm="1">
        <f t="array" ref="F425">_xlfn.LET( _xlpm.original, E425,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021 777 081</v>
      </c>
      <c r="H425" t="s">
        <v>1496</v>
      </c>
      <c r="J425" t="s">
        <v>762</v>
      </c>
      <c r="K425" t="s">
        <v>1937</v>
      </c>
      <c r="L425" t="s">
        <v>2308</v>
      </c>
    </row>
    <row r="426" spans="1:12" x14ac:dyDescent="0.25">
      <c r="A426" t="s">
        <v>132</v>
      </c>
      <c r="B426" t="s">
        <v>132</v>
      </c>
      <c r="C426" t="s">
        <v>758</v>
      </c>
      <c r="D426" t="s">
        <v>921</v>
      </c>
      <c r="E426" s="6">
        <f t="shared" si="6"/>
        <v>211640033</v>
      </c>
      <c r="F426" s="9" t="str" cm="1">
        <f t="array" ref="F426">_xlfn.LET( _xlpm.original, E426,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021 164 0033</v>
      </c>
      <c r="H426" t="s">
        <v>1495</v>
      </c>
      <c r="J426" t="s">
        <v>1786</v>
      </c>
      <c r="K426" t="s">
        <v>1936</v>
      </c>
      <c r="L426" t="s">
        <v>2307</v>
      </c>
    </row>
    <row r="427" spans="1:12" x14ac:dyDescent="0.25">
      <c r="B427" t="s">
        <v>473</v>
      </c>
      <c r="C427" t="s">
        <v>758</v>
      </c>
      <c r="D427" t="s">
        <v>920</v>
      </c>
      <c r="E427" s="6">
        <f t="shared" si="6"/>
        <v>98156800</v>
      </c>
      <c r="F427" s="9" t="str" cm="1">
        <f t="array" ref="F427">_xlfn.LET( _xlpm.original, E427,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098 156 800</v>
      </c>
      <c r="G427" t="s">
        <v>1240</v>
      </c>
      <c r="H427" t="s">
        <v>1494</v>
      </c>
      <c r="J427" t="s">
        <v>1801</v>
      </c>
      <c r="K427" t="s">
        <v>1935</v>
      </c>
      <c r="L427" t="s">
        <v>2306</v>
      </c>
    </row>
    <row r="428" spans="1:12" x14ac:dyDescent="0.25">
      <c r="A428" t="s">
        <v>115</v>
      </c>
      <c r="B428" t="s">
        <v>443</v>
      </c>
      <c r="C428" t="s">
        <v>758</v>
      </c>
      <c r="D428" t="s">
        <v>894</v>
      </c>
      <c r="E428" s="6">
        <f t="shared" si="6"/>
        <v>272566515</v>
      </c>
      <c r="F428" s="9" t="str" cm="1">
        <f t="array" ref="F428">_xlfn.LET( _xlpm.original, E428,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027 256 6515</v>
      </c>
      <c r="H428" t="s">
        <v>1465</v>
      </c>
      <c r="J428" t="s">
        <v>1786</v>
      </c>
      <c r="K428" t="s">
        <v>1907</v>
      </c>
      <c r="L428" t="s">
        <v>2281</v>
      </c>
    </row>
    <row r="429" spans="1:12" x14ac:dyDescent="0.25">
      <c r="A429" t="s">
        <v>15</v>
      </c>
      <c r="B429" t="s">
        <v>442</v>
      </c>
      <c r="C429" t="s">
        <v>759</v>
      </c>
      <c r="D429" t="s">
        <v>893</v>
      </c>
      <c r="E429" s="6">
        <f t="shared" si="6"/>
        <v>223291214</v>
      </c>
      <c r="F429" s="9" t="str" cm="1">
        <f t="array" ref="F429">_xlfn.LET( _xlpm.original, E429,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022 329 1214</v>
      </c>
      <c r="G429" t="s">
        <v>1181</v>
      </c>
      <c r="H429" t="s">
        <v>1464</v>
      </c>
      <c r="J429" t="s">
        <v>759</v>
      </c>
      <c r="K429" t="s">
        <v>1906</v>
      </c>
      <c r="L429" t="s">
        <v>2280</v>
      </c>
    </row>
    <row r="430" spans="1:12" x14ac:dyDescent="0.25">
      <c r="A430" t="s">
        <v>52</v>
      </c>
      <c r="B430" t="s">
        <v>441</v>
      </c>
      <c r="C430" t="s">
        <v>758</v>
      </c>
      <c r="E430" s="6">
        <f t="shared" si="6"/>
        <v>0</v>
      </c>
      <c r="F430" s="9" t="str" cm="1">
        <f t="array" ref="F430">_xlfn.LET( _xlpm.original, E430,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430" t="s">
        <v>1230</v>
      </c>
      <c r="H430" t="s">
        <v>1463</v>
      </c>
      <c r="J430" t="s">
        <v>762</v>
      </c>
      <c r="K430" t="s">
        <v>1906</v>
      </c>
      <c r="L430" t="s">
        <v>2275</v>
      </c>
    </row>
    <row r="431" spans="1:12" x14ac:dyDescent="0.25">
      <c r="A431" t="s">
        <v>114</v>
      </c>
      <c r="B431" t="s">
        <v>440</v>
      </c>
      <c r="C431" t="s">
        <v>758</v>
      </c>
      <c r="D431" t="s">
        <v>892</v>
      </c>
      <c r="E431" s="6">
        <f t="shared" si="6"/>
        <v>275469424</v>
      </c>
      <c r="F431" s="9" t="str" cm="1">
        <f t="array" ref="F431">_xlfn.LET( _xlpm.original, E431,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027 546 9424</v>
      </c>
      <c r="G431" t="s">
        <v>1229</v>
      </c>
      <c r="H431" t="s">
        <v>1462</v>
      </c>
      <c r="J431" t="s">
        <v>768</v>
      </c>
      <c r="K431" t="s">
        <v>1905</v>
      </c>
      <c r="L431" t="s">
        <v>2279</v>
      </c>
    </row>
    <row r="432" spans="1:12" x14ac:dyDescent="0.25">
      <c r="A432" t="s">
        <v>113</v>
      </c>
      <c r="B432" t="s">
        <v>113</v>
      </c>
      <c r="C432" t="s">
        <v>758</v>
      </c>
      <c r="D432" t="s">
        <v>891</v>
      </c>
      <c r="E432" s="6">
        <f t="shared" si="6"/>
        <v>210402317</v>
      </c>
      <c r="F432" s="9" t="str" cm="1">
        <f t="array" ref="F432">_xlfn.LET( _xlpm.original, E432,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021 040 2317</v>
      </c>
      <c r="H432" t="s">
        <v>1461</v>
      </c>
      <c r="J432" t="s">
        <v>1786</v>
      </c>
      <c r="K432" t="s">
        <v>1904</v>
      </c>
      <c r="L432" t="s">
        <v>2278</v>
      </c>
    </row>
    <row r="433" spans="1:12" x14ac:dyDescent="0.25">
      <c r="A433" t="s">
        <v>112</v>
      </c>
      <c r="B433" t="s">
        <v>439</v>
      </c>
      <c r="C433" t="s">
        <v>758</v>
      </c>
      <c r="D433" t="s">
        <v>890</v>
      </c>
      <c r="E433" s="6">
        <f t="shared" si="6"/>
        <v>211753413</v>
      </c>
      <c r="F433" s="9" t="str" cm="1">
        <f t="array" ref="F433">_xlfn.LET( _xlpm.original, E433,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021 175 3413</v>
      </c>
      <c r="H433" t="s">
        <v>1460</v>
      </c>
      <c r="J433" t="s">
        <v>1786</v>
      </c>
      <c r="K433" t="s">
        <v>1904</v>
      </c>
      <c r="L433" t="s">
        <v>2156</v>
      </c>
    </row>
    <row r="434" spans="1:12" x14ac:dyDescent="0.25">
      <c r="A434" t="s">
        <v>111</v>
      </c>
      <c r="B434" t="s">
        <v>438</v>
      </c>
      <c r="C434" t="s">
        <v>758</v>
      </c>
      <c r="D434" t="s">
        <v>889</v>
      </c>
      <c r="E434" s="6">
        <f t="shared" si="6"/>
        <v>212298480</v>
      </c>
      <c r="F434" s="9" t="str" cm="1">
        <f t="array" ref="F434">_xlfn.LET( _xlpm.original, E434,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021 229 8480</v>
      </c>
      <c r="G434" t="s">
        <v>1228</v>
      </c>
      <c r="H434" t="s">
        <v>1459</v>
      </c>
      <c r="J434" t="s">
        <v>766</v>
      </c>
      <c r="K434" t="s">
        <v>1903</v>
      </c>
      <c r="L434" t="s">
        <v>2277</v>
      </c>
    </row>
    <row r="435" spans="1:12" x14ac:dyDescent="0.25">
      <c r="A435" t="s">
        <v>110</v>
      </c>
      <c r="B435" t="s">
        <v>437</v>
      </c>
      <c r="C435" t="s">
        <v>758</v>
      </c>
      <c r="E435" s="6">
        <f t="shared" si="6"/>
        <v>0</v>
      </c>
      <c r="F435" s="9" t="str" cm="1">
        <f t="array" ref="F435">_xlfn.LET( _xlpm.original, E435,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435" t="s">
        <v>1227</v>
      </c>
      <c r="H435" t="s">
        <v>1458</v>
      </c>
      <c r="J435" t="s">
        <v>1791</v>
      </c>
      <c r="K435" t="s">
        <v>1903</v>
      </c>
      <c r="L435" t="s">
        <v>2276</v>
      </c>
    </row>
    <row r="436" spans="1:12" x14ac:dyDescent="0.25">
      <c r="A436" t="s">
        <v>71</v>
      </c>
      <c r="B436" t="s">
        <v>436</v>
      </c>
      <c r="C436" t="s">
        <v>758</v>
      </c>
      <c r="D436" t="s">
        <v>888</v>
      </c>
      <c r="E436" s="6">
        <f t="shared" si="6"/>
        <v>212217778</v>
      </c>
      <c r="F436" s="9" t="str" cm="1">
        <f t="array" ref="F436">_xlfn.LET( _xlpm.original, E436,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021 221 7778</v>
      </c>
      <c r="H436" t="s">
        <v>1457</v>
      </c>
      <c r="J436" t="s">
        <v>762</v>
      </c>
      <c r="K436" t="s">
        <v>1903</v>
      </c>
      <c r="L436" t="s">
        <v>2275</v>
      </c>
    </row>
    <row r="437" spans="1:12" x14ac:dyDescent="0.25">
      <c r="A437" t="s">
        <v>109</v>
      </c>
      <c r="B437" t="s">
        <v>435</v>
      </c>
      <c r="C437" t="s">
        <v>758</v>
      </c>
      <c r="D437" t="s">
        <v>887</v>
      </c>
      <c r="E437" s="6">
        <f t="shared" si="6"/>
        <v>274282599</v>
      </c>
      <c r="F437" s="9" t="str" cm="1">
        <f t="array" ref="F437">_xlfn.LET( _xlpm.original, E437,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027 428 2599</v>
      </c>
      <c r="H437" t="s">
        <v>1456</v>
      </c>
      <c r="J437" t="s">
        <v>769</v>
      </c>
      <c r="K437" t="s">
        <v>1902</v>
      </c>
      <c r="L437" t="s">
        <v>2274</v>
      </c>
    </row>
    <row r="438" spans="1:12" x14ac:dyDescent="0.25">
      <c r="A438" t="s">
        <v>108</v>
      </c>
      <c r="B438" t="s">
        <v>434</v>
      </c>
      <c r="C438" t="s">
        <v>758</v>
      </c>
      <c r="D438" t="s">
        <v>887</v>
      </c>
      <c r="E438" s="6">
        <f t="shared" si="6"/>
        <v>274282599</v>
      </c>
      <c r="F438" s="9" t="str" cm="1">
        <f t="array" ref="F438">_xlfn.LET( _xlpm.original, E438,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027 428 2599</v>
      </c>
      <c r="H438" t="s">
        <v>1455</v>
      </c>
      <c r="J438" t="s">
        <v>1799</v>
      </c>
      <c r="K438" t="s">
        <v>1901</v>
      </c>
      <c r="L438" t="s">
        <v>2273</v>
      </c>
    </row>
    <row r="439" spans="1:12" x14ac:dyDescent="0.25">
      <c r="A439" t="s">
        <v>107</v>
      </c>
      <c r="B439" t="s">
        <v>433</v>
      </c>
      <c r="C439" t="s">
        <v>758</v>
      </c>
      <c r="D439" t="s">
        <v>886</v>
      </c>
      <c r="E439" s="6">
        <f t="shared" si="6"/>
        <v>21333516</v>
      </c>
      <c r="F439" s="9" t="str" cm="1">
        <f t="array" ref="F439">_xlfn.LET( _xlpm.original, E439,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021 333 516</v>
      </c>
      <c r="H439" t="s">
        <v>1454</v>
      </c>
      <c r="J439" t="s">
        <v>1791</v>
      </c>
      <c r="K439" t="s">
        <v>1901</v>
      </c>
      <c r="L439" t="s">
        <v>2272</v>
      </c>
    </row>
    <row r="440" spans="1:12" x14ac:dyDescent="0.25">
      <c r="A440" t="s">
        <v>71</v>
      </c>
      <c r="B440" t="s">
        <v>432</v>
      </c>
      <c r="C440" t="s">
        <v>762</v>
      </c>
      <c r="D440" t="s">
        <v>885</v>
      </c>
      <c r="E440" s="6">
        <f t="shared" si="6"/>
        <v>273274555</v>
      </c>
      <c r="F440" s="9" t="str" cm="1">
        <f t="array" ref="F440">_xlfn.LET( _xlpm.original, E440,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027 327 4555</v>
      </c>
      <c r="H440" t="s">
        <v>1453</v>
      </c>
      <c r="J440" t="s">
        <v>762</v>
      </c>
      <c r="K440" t="s">
        <v>1901</v>
      </c>
      <c r="L440" t="s">
        <v>2271</v>
      </c>
    </row>
    <row r="441" spans="1:12" x14ac:dyDescent="0.25">
      <c r="A441" t="s">
        <v>52</v>
      </c>
      <c r="B441" t="s">
        <v>431</v>
      </c>
      <c r="C441" t="s">
        <v>762</v>
      </c>
      <c r="E441" s="6">
        <f t="shared" si="6"/>
        <v>0</v>
      </c>
      <c r="F441" s="9" t="str" cm="1">
        <f t="array" ref="F441">_xlfn.LET( _xlpm.original, E441,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441" t="s">
        <v>1226</v>
      </c>
      <c r="H441" t="s">
        <v>1452</v>
      </c>
      <c r="J441" t="s">
        <v>762</v>
      </c>
      <c r="K441" t="s">
        <v>1900</v>
      </c>
      <c r="L441" t="s">
        <v>2270</v>
      </c>
    </row>
    <row r="442" spans="1:12" x14ac:dyDescent="0.25">
      <c r="A442" t="s">
        <v>106</v>
      </c>
      <c r="B442" t="s">
        <v>430</v>
      </c>
      <c r="C442" t="s">
        <v>759</v>
      </c>
      <c r="D442" t="s">
        <v>884</v>
      </c>
      <c r="E442" s="6">
        <f t="shared" si="6"/>
        <v>21482794</v>
      </c>
      <c r="F442" s="9" t="str" cm="1">
        <f t="array" ref="F442">_xlfn.LET( _xlpm.original, E442,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021 482 794</v>
      </c>
      <c r="G442" t="s">
        <v>1225</v>
      </c>
      <c r="H442" t="s">
        <v>1451</v>
      </c>
      <c r="J442" t="s">
        <v>759</v>
      </c>
      <c r="K442" t="s">
        <v>1899</v>
      </c>
      <c r="L442" t="s">
        <v>2269</v>
      </c>
    </row>
    <row r="443" spans="1:12" x14ac:dyDescent="0.25">
      <c r="A443" t="s">
        <v>105</v>
      </c>
      <c r="B443" t="s">
        <v>429</v>
      </c>
      <c r="C443" t="s">
        <v>758</v>
      </c>
      <c r="D443" t="s">
        <v>883</v>
      </c>
      <c r="E443" s="6">
        <f t="shared" si="6"/>
        <v>210344177</v>
      </c>
      <c r="F443" s="9" t="str" cm="1">
        <f t="array" ref="F443">_xlfn.LET( _xlpm.original, E443,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021 034 4177</v>
      </c>
      <c r="H443" t="s">
        <v>1450</v>
      </c>
      <c r="J443" t="s">
        <v>1786</v>
      </c>
      <c r="K443" t="s">
        <v>1898</v>
      </c>
      <c r="L443" t="s">
        <v>2268</v>
      </c>
    </row>
    <row r="444" spans="1:12" x14ac:dyDescent="0.25">
      <c r="A444" t="s">
        <v>104</v>
      </c>
      <c r="B444" t="s">
        <v>428</v>
      </c>
      <c r="C444" t="s">
        <v>758</v>
      </c>
      <c r="D444" t="s">
        <v>882</v>
      </c>
      <c r="E444" s="6">
        <f t="shared" si="6"/>
        <v>21312253</v>
      </c>
      <c r="F444" s="9" t="str" cm="1">
        <f t="array" ref="F444">_xlfn.LET( _xlpm.original, E444,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021 312 253</v>
      </c>
      <c r="H444" t="s">
        <v>1449</v>
      </c>
      <c r="J444" t="s">
        <v>1785</v>
      </c>
      <c r="K444" t="s">
        <v>1897</v>
      </c>
      <c r="L444" t="s">
        <v>2267</v>
      </c>
    </row>
    <row r="445" spans="1:12" x14ac:dyDescent="0.25">
      <c r="A445" t="s">
        <v>103</v>
      </c>
      <c r="B445" t="s">
        <v>427</v>
      </c>
      <c r="C445" t="s">
        <v>758</v>
      </c>
      <c r="D445" t="s">
        <v>881</v>
      </c>
      <c r="E445" s="6">
        <f t="shared" si="6"/>
        <v>211585465</v>
      </c>
      <c r="F445" s="9" t="str" cm="1">
        <f t="array" ref="F445">_xlfn.LET( _xlpm.original, E445,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021 158 5465</v>
      </c>
      <c r="H445" t="s">
        <v>1448</v>
      </c>
      <c r="J445" t="s">
        <v>762</v>
      </c>
      <c r="K445" t="s">
        <v>1896</v>
      </c>
      <c r="L445" t="s">
        <v>2266</v>
      </c>
    </row>
    <row r="446" spans="1:12" x14ac:dyDescent="0.25">
      <c r="A446" t="s">
        <v>25</v>
      </c>
      <c r="B446" t="s">
        <v>426</v>
      </c>
      <c r="C446" t="s">
        <v>762</v>
      </c>
      <c r="E446" s="6">
        <f t="shared" si="6"/>
        <v>0</v>
      </c>
      <c r="F446" s="9" t="str" cm="1">
        <f t="array" ref="F446">_xlfn.LET( _xlpm.original, E446,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446" t="s">
        <v>1224</v>
      </c>
      <c r="H446" t="s">
        <v>1447</v>
      </c>
      <c r="J446" t="s">
        <v>762</v>
      </c>
      <c r="K446" t="s">
        <v>1895</v>
      </c>
      <c r="L446" t="s">
        <v>2265</v>
      </c>
    </row>
    <row r="447" spans="1:12" x14ac:dyDescent="0.25">
      <c r="A447" t="s">
        <v>102</v>
      </c>
      <c r="B447" t="s">
        <v>425</v>
      </c>
      <c r="C447" t="s">
        <v>758</v>
      </c>
      <c r="D447" t="s">
        <v>880</v>
      </c>
      <c r="E447" s="6">
        <f t="shared" si="6"/>
        <v>275537643</v>
      </c>
      <c r="F447" s="9" t="str" cm="1">
        <f t="array" ref="F447">_xlfn.LET( _xlpm.original, E447,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027 553 7643</v>
      </c>
      <c r="G447" t="b">
        <f>ISTEXT(F4)</f>
        <v>1</v>
      </c>
      <c r="H447" t="s">
        <v>1446</v>
      </c>
      <c r="J447" t="s">
        <v>1798</v>
      </c>
      <c r="K447" t="s">
        <v>1894</v>
      </c>
      <c r="L447" t="s">
        <v>2264</v>
      </c>
    </row>
    <row r="448" spans="1:12" x14ac:dyDescent="0.25">
      <c r="A448" t="s">
        <v>25</v>
      </c>
      <c r="B448" t="s">
        <v>424</v>
      </c>
      <c r="C448" t="s">
        <v>758</v>
      </c>
      <c r="D448" t="s">
        <v>879</v>
      </c>
      <c r="E448" s="6">
        <f t="shared" si="6"/>
        <v>21902296</v>
      </c>
      <c r="F448" s="9" t="str" cm="1">
        <f t="array" ref="F448">_xlfn.LET( _xlpm.original, E448,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021 902 296</v>
      </c>
      <c r="G448" t="s">
        <v>1224</v>
      </c>
      <c r="H448" t="s">
        <v>1445</v>
      </c>
      <c r="J448" t="s">
        <v>768</v>
      </c>
      <c r="K448" t="s">
        <v>1893</v>
      </c>
      <c r="L448" t="s">
        <v>2263</v>
      </c>
    </row>
    <row r="449" spans="1:12" x14ac:dyDescent="0.25">
      <c r="A449" t="s">
        <v>100</v>
      </c>
      <c r="B449" t="s">
        <v>423</v>
      </c>
      <c r="C449" t="s">
        <v>758</v>
      </c>
      <c r="D449" t="s">
        <v>877</v>
      </c>
      <c r="E449" s="6">
        <f t="shared" ref="E449:E481" si="7">_xlfn.NUMBERVALUE(D449)</f>
        <v>21550551</v>
      </c>
      <c r="F449" s="9" t="str" cm="1">
        <f t="array" ref="F449">_xlfn.LET( _xlpm.original, E449,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021 550 551</v>
      </c>
      <c r="H449" t="s">
        <v>1443</v>
      </c>
      <c r="J449" t="s">
        <v>769</v>
      </c>
      <c r="K449" t="s">
        <v>1892</v>
      </c>
      <c r="L449" t="s">
        <v>1977</v>
      </c>
    </row>
    <row r="450" spans="1:12" x14ac:dyDescent="0.25">
      <c r="A450" t="s">
        <v>99</v>
      </c>
      <c r="B450" t="s">
        <v>422</v>
      </c>
      <c r="C450" t="s">
        <v>759</v>
      </c>
      <c r="D450" t="s">
        <v>876</v>
      </c>
      <c r="E450" s="6">
        <f t="shared" si="7"/>
        <v>274909705</v>
      </c>
      <c r="F450" s="9" t="str" cm="1">
        <f t="array" ref="F450">_xlfn.LET( _xlpm.original, E450,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027 490 9705</v>
      </c>
      <c r="G450" t="s">
        <v>1222</v>
      </c>
      <c r="H450" t="s">
        <v>1442</v>
      </c>
      <c r="J450" t="s">
        <v>768</v>
      </c>
      <c r="K450" t="s">
        <v>1892</v>
      </c>
      <c r="L450" t="s">
        <v>2262</v>
      </c>
    </row>
    <row r="451" spans="1:12" x14ac:dyDescent="0.25">
      <c r="A451" t="s">
        <v>116</v>
      </c>
      <c r="B451" t="s">
        <v>444</v>
      </c>
      <c r="C451" t="s">
        <v>758</v>
      </c>
      <c r="D451" t="s">
        <v>895</v>
      </c>
      <c r="E451" s="6">
        <f t="shared" si="7"/>
        <v>2102553091</v>
      </c>
      <c r="F451" s="9" t="str" cm="1">
        <f t="array" ref="F451">_xlfn.LET( _xlpm.original, E451,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210 255 3091</v>
      </c>
      <c r="H451" t="s">
        <v>1466</v>
      </c>
      <c r="J451" t="s">
        <v>769</v>
      </c>
      <c r="K451" t="s">
        <v>1908</v>
      </c>
      <c r="L451" t="s">
        <v>2282</v>
      </c>
    </row>
    <row r="452" spans="1:12" x14ac:dyDescent="0.25">
      <c r="A452" t="s">
        <v>98</v>
      </c>
      <c r="B452" t="s">
        <v>421</v>
      </c>
      <c r="C452" t="s">
        <v>758</v>
      </c>
      <c r="D452" t="s">
        <v>875</v>
      </c>
      <c r="E452" s="6">
        <f t="shared" si="7"/>
        <v>272381774</v>
      </c>
      <c r="F452" s="9" t="str" cm="1">
        <f t="array" ref="F452">_xlfn.LET( _xlpm.original, E452,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027 238 1774</v>
      </c>
      <c r="H452" t="s">
        <v>1441</v>
      </c>
      <c r="J452" t="s">
        <v>762</v>
      </c>
      <c r="K452" t="s">
        <v>1891</v>
      </c>
      <c r="L452" t="s">
        <v>2261</v>
      </c>
    </row>
    <row r="453" spans="1:12" x14ac:dyDescent="0.25">
      <c r="A453" t="s">
        <v>117</v>
      </c>
      <c r="B453" t="s">
        <v>445</v>
      </c>
      <c r="C453" t="s">
        <v>758</v>
      </c>
      <c r="D453" t="s">
        <v>896</v>
      </c>
      <c r="E453" s="6">
        <f t="shared" si="7"/>
        <v>21739967</v>
      </c>
      <c r="F453" s="9" t="str" cm="1">
        <f t="array" ref="F453">_xlfn.LET( _xlpm.original, E453,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021 739 967</v>
      </c>
      <c r="H453" t="s">
        <v>1467</v>
      </c>
      <c r="J453" t="s">
        <v>1786</v>
      </c>
      <c r="K453" t="s">
        <v>1909</v>
      </c>
      <c r="L453" t="s">
        <v>2283</v>
      </c>
    </row>
    <row r="454" spans="1:12" x14ac:dyDescent="0.25">
      <c r="B454" t="s">
        <v>447</v>
      </c>
      <c r="C454" t="s">
        <v>758</v>
      </c>
      <c r="D454" t="s">
        <v>898</v>
      </c>
      <c r="E454" s="6">
        <f t="shared" si="7"/>
        <v>21803153</v>
      </c>
      <c r="F454" s="9" t="str" cm="1">
        <f t="array" ref="F454">_xlfn.LET( _xlpm.original, E454,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021 803 153</v>
      </c>
      <c r="H454" t="s">
        <v>1469</v>
      </c>
      <c r="J454" t="s">
        <v>769</v>
      </c>
      <c r="K454" t="s">
        <v>1911</v>
      </c>
      <c r="L454" t="s">
        <v>2285</v>
      </c>
    </row>
    <row r="455" spans="1:12" x14ac:dyDescent="0.25">
      <c r="A455" t="s">
        <v>8</v>
      </c>
      <c r="B455" t="s">
        <v>472</v>
      </c>
      <c r="C455" t="s">
        <v>758</v>
      </c>
      <c r="D455" t="s">
        <v>919</v>
      </c>
      <c r="E455" s="6">
        <f t="shared" si="7"/>
        <v>21620329</v>
      </c>
      <c r="F455" s="9" t="str" cm="1">
        <f t="array" ref="F455">_xlfn.LET( _xlpm.original, E455,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021 620 329</v>
      </c>
      <c r="G455" t="s">
        <v>1191</v>
      </c>
      <c r="H455" t="s">
        <v>1493</v>
      </c>
      <c r="J455" t="s">
        <v>759</v>
      </c>
      <c r="K455" t="s">
        <v>1934</v>
      </c>
      <c r="L455" t="s">
        <v>2305</v>
      </c>
    </row>
    <row r="456" spans="1:12" x14ac:dyDescent="0.25">
      <c r="A456" t="s">
        <v>131</v>
      </c>
      <c r="B456" t="s">
        <v>471</v>
      </c>
      <c r="C456" t="s">
        <v>758</v>
      </c>
      <c r="D456" t="s">
        <v>918</v>
      </c>
      <c r="E456" s="6">
        <f t="shared" si="7"/>
        <v>21727399</v>
      </c>
      <c r="F456" s="9" t="str" cm="1">
        <f t="array" ref="F456">_xlfn.LET( _xlpm.original, E456,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021 727 399</v>
      </c>
      <c r="H456" t="s">
        <v>1492</v>
      </c>
      <c r="J456" t="s">
        <v>762</v>
      </c>
      <c r="K456" t="s">
        <v>1934</v>
      </c>
      <c r="L456" t="s">
        <v>2304</v>
      </c>
    </row>
    <row r="457" spans="1:12" x14ac:dyDescent="0.25">
      <c r="A457" t="s">
        <v>130</v>
      </c>
      <c r="B457" t="s">
        <v>470</v>
      </c>
      <c r="C457" t="s">
        <v>758</v>
      </c>
      <c r="D457" t="s">
        <v>917</v>
      </c>
      <c r="E457" s="6">
        <f t="shared" si="7"/>
        <v>274966501</v>
      </c>
      <c r="F457" s="9" t="str" cm="1">
        <f t="array" ref="F457">_xlfn.LET( _xlpm.original, E457,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027 496 6501</v>
      </c>
      <c r="H457" t="s">
        <v>1491</v>
      </c>
      <c r="J457" t="s">
        <v>1791</v>
      </c>
      <c r="K457" t="s">
        <v>1933</v>
      </c>
      <c r="L457" t="s">
        <v>2303</v>
      </c>
    </row>
    <row r="458" spans="1:12" x14ac:dyDescent="0.25">
      <c r="A458" t="s">
        <v>68</v>
      </c>
      <c r="B458" t="s">
        <v>469</v>
      </c>
      <c r="C458" t="s">
        <v>758</v>
      </c>
      <c r="D458" t="s">
        <v>916</v>
      </c>
      <c r="E458" s="6">
        <f t="shared" si="7"/>
        <v>2102402395</v>
      </c>
      <c r="F458" s="9" t="str" cm="1">
        <f t="array" ref="F458">_xlfn.LET( _xlpm.original, E458,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210 240 2395</v>
      </c>
      <c r="G458" t="s">
        <v>1239</v>
      </c>
      <c r="H458" t="s">
        <v>1490</v>
      </c>
      <c r="J458" t="s">
        <v>762</v>
      </c>
      <c r="K458" t="s">
        <v>1932</v>
      </c>
      <c r="L458" t="s">
        <v>2302</v>
      </c>
    </row>
    <row r="459" spans="1:12" x14ac:dyDescent="0.25">
      <c r="A459" t="s">
        <v>129</v>
      </c>
      <c r="B459" t="s">
        <v>468</v>
      </c>
      <c r="C459" t="s">
        <v>758</v>
      </c>
      <c r="D459">
        <v>21734460</v>
      </c>
      <c r="E459" s="6">
        <f t="shared" si="7"/>
        <v>21734460</v>
      </c>
      <c r="F459" s="9" t="str" cm="1">
        <f t="array" ref="F459">_xlfn.LET( _xlpm.original, E459,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021 734 460</v>
      </c>
      <c r="H459" t="s">
        <v>1489</v>
      </c>
      <c r="J459" t="s">
        <v>758</v>
      </c>
      <c r="K459" t="s">
        <v>1931</v>
      </c>
      <c r="L459" t="s">
        <v>2301</v>
      </c>
    </row>
    <row r="460" spans="1:12" x14ac:dyDescent="0.25">
      <c r="A460" t="s">
        <v>74</v>
      </c>
      <c r="B460" t="s">
        <v>756</v>
      </c>
      <c r="C460" t="s">
        <v>758</v>
      </c>
      <c r="E460" s="6">
        <f t="shared" si="7"/>
        <v>0</v>
      </c>
      <c r="F460" s="9" t="str" cm="1">
        <f t="array" ref="F460">_xlfn.LET( _xlpm.original, E460,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J460" t="s">
        <v>758</v>
      </c>
      <c r="K460" t="s">
        <v>1931</v>
      </c>
      <c r="L460" t="s">
        <v>2551</v>
      </c>
    </row>
    <row r="461" spans="1:12" x14ac:dyDescent="0.25">
      <c r="A461" t="s">
        <v>6</v>
      </c>
      <c r="B461" t="s">
        <v>467</v>
      </c>
      <c r="C461" t="s">
        <v>758</v>
      </c>
      <c r="D461" t="s">
        <v>915</v>
      </c>
      <c r="E461" s="6">
        <f t="shared" si="7"/>
        <v>212170003</v>
      </c>
      <c r="F461" s="9" t="str" cm="1">
        <f t="array" ref="F461">_xlfn.LET( _xlpm.original, E461,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021 217 0003</v>
      </c>
      <c r="H461" t="s">
        <v>1488</v>
      </c>
      <c r="J461" t="s">
        <v>769</v>
      </c>
      <c r="K461" t="s">
        <v>1930</v>
      </c>
      <c r="L461" t="s">
        <v>2300</v>
      </c>
    </row>
    <row r="462" spans="1:12" x14ac:dyDescent="0.25">
      <c r="A462" t="s">
        <v>91</v>
      </c>
      <c r="B462" t="s">
        <v>466</v>
      </c>
      <c r="C462" t="s">
        <v>758</v>
      </c>
      <c r="D462" t="s">
        <v>914</v>
      </c>
      <c r="E462" s="6">
        <f t="shared" si="7"/>
        <v>210762068</v>
      </c>
      <c r="F462" s="9" t="str" cm="1">
        <f t="array" ref="F462">_xlfn.LET( _xlpm.original, E462,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021 076 2068</v>
      </c>
      <c r="H462" t="s">
        <v>1487</v>
      </c>
      <c r="J462" t="s">
        <v>1791</v>
      </c>
      <c r="K462" t="s">
        <v>1929</v>
      </c>
      <c r="L462" t="s">
        <v>2299</v>
      </c>
    </row>
    <row r="463" spans="1:12" x14ac:dyDescent="0.25">
      <c r="A463" t="s">
        <v>128</v>
      </c>
      <c r="B463" t="s">
        <v>465</v>
      </c>
      <c r="C463" t="s">
        <v>758</v>
      </c>
      <c r="D463" t="s">
        <v>913</v>
      </c>
      <c r="E463" s="6">
        <f t="shared" si="7"/>
        <v>272637528</v>
      </c>
      <c r="F463" s="9" t="str" cm="1">
        <f t="array" ref="F463">_xlfn.LET( _xlpm.original, E463,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027 263 7528</v>
      </c>
      <c r="G463" t="s">
        <v>1238</v>
      </c>
      <c r="H463" t="s">
        <v>1486</v>
      </c>
      <c r="J463" t="s">
        <v>1790</v>
      </c>
      <c r="K463" t="s">
        <v>1928</v>
      </c>
      <c r="L463" t="s">
        <v>2298</v>
      </c>
    </row>
    <row r="464" spans="1:12" x14ac:dyDescent="0.25">
      <c r="A464" t="s">
        <v>71</v>
      </c>
      <c r="B464" t="s">
        <v>464</v>
      </c>
      <c r="C464" t="s">
        <v>758</v>
      </c>
      <c r="D464" t="s">
        <v>912</v>
      </c>
      <c r="E464" s="6">
        <f t="shared" si="7"/>
        <v>210465051</v>
      </c>
      <c r="F464" s="9" t="str" cm="1">
        <f t="array" ref="F464">_xlfn.LET( _xlpm.original, E464,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021 046 5051</v>
      </c>
      <c r="G464" t="s">
        <v>1237</v>
      </c>
      <c r="H464" t="s">
        <v>1485</v>
      </c>
      <c r="J464" t="s">
        <v>762</v>
      </c>
      <c r="K464" t="s">
        <v>1927</v>
      </c>
      <c r="L464" t="s">
        <v>2297</v>
      </c>
    </row>
    <row r="465" spans="1:12" x14ac:dyDescent="0.25">
      <c r="A465" t="s">
        <v>18</v>
      </c>
      <c r="B465" t="s">
        <v>463</v>
      </c>
      <c r="C465" t="s">
        <v>762</v>
      </c>
      <c r="D465">
        <v>275491183</v>
      </c>
      <c r="E465" s="6">
        <f t="shared" si="7"/>
        <v>275491183</v>
      </c>
      <c r="F465" s="9" t="str" cm="1">
        <f t="array" ref="F465">_xlfn.LET( _xlpm.original, E465,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027 549 1183</v>
      </c>
      <c r="H465" t="s">
        <v>1484</v>
      </c>
      <c r="J465" t="s">
        <v>762</v>
      </c>
      <c r="K465" t="s">
        <v>1926</v>
      </c>
      <c r="L465" t="s">
        <v>2296</v>
      </c>
    </row>
    <row r="466" spans="1:12" x14ac:dyDescent="0.25">
      <c r="A466" t="s">
        <v>71</v>
      </c>
      <c r="B466" t="s">
        <v>462</v>
      </c>
      <c r="C466" t="s">
        <v>758</v>
      </c>
      <c r="D466" t="s">
        <v>911</v>
      </c>
      <c r="E466" s="6">
        <f t="shared" si="7"/>
        <v>21983493</v>
      </c>
      <c r="F466" s="9" t="str" cm="1">
        <f t="array" ref="F466">_xlfn.LET( _xlpm.original, E466,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021 983 493</v>
      </c>
      <c r="G466" t="s">
        <v>1236</v>
      </c>
      <c r="H466" t="s">
        <v>1483</v>
      </c>
      <c r="J466" t="s">
        <v>1800</v>
      </c>
      <c r="K466" t="s">
        <v>1925</v>
      </c>
      <c r="L466" t="s">
        <v>2295</v>
      </c>
    </row>
    <row r="467" spans="1:12" x14ac:dyDescent="0.25">
      <c r="A467" t="s">
        <v>127</v>
      </c>
      <c r="B467" t="s">
        <v>461</v>
      </c>
      <c r="C467" t="s">
        <v>758</v>
      </c>
      <c r="D467" t="s">
        <v>910</v>
      </c>
      <c r="E467" s="6">
        <f t="shared" si="7"/>
        <v>2102397519</v>
      </c>
      <c r="F467" s="9" t="str" cm="1">
        <f t="array" ref="F467">_xlfn.LET( _xlpm.original, E467,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210 239 7519</v>
      </c>
      <c r="H467" t="s">
        <v>1482</v>
      </c>
      <c r="J467" t="s">
        <v>1788</v>
      </c>
      <c r="K467" t="s">
        <v>1924</v>
      </c>
      <c r="L467" t="s">
        <v>2281</v>
      </c>
    </row>
    <row r="468" spans="1:12" x14ac:dyDescent="0.25">
      <c r="A468" t="s">
        <v>126</v>
      </c>
      <c r="B468" s="3" t="s">
        <v>460</v>
      </c>
      <c r="C468" t="s">
        <v>766</v>
      </c>
      <c r="D468" t="s">
        <v>909</v>
      </c>
      <c r="E468" s="6">
        <f t="shared" si="7"/>
        <v>211431692</v>
      </c>
      <c r="F468" s="9" t="str" cm="1">
        <f t="array" ref="F468">_xlfn.LET( _xlpm.original, E468,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021 143 1692</v>
      </c>
      <c r="H468" t="s">
        <v>1481</v>
      </c>
      <c r="J468" t="s">
        <v>766</v>
      </c>
      <c r="K468" t="s">
        <v>1924</v>
      </c>
      <c r="L468" t="s">
        <v>2294</v>
      </c>
    </row>
    <row r="469" spans="1:12" x14ac:dyDescent="0.25">
      <c r="A469" t="s">
        <v>25</v>
      </c>
      <c r="B469" t="s">
        <v>459</v>
      </c>
      <c r="C469" t="s">
        <v>758</v>
      </c>
      <c r="D469" t="s">
        <v>908</v>
      </c>
      <c r="E469" s="6">
        <f t="shared" si="7"/>
        <v>21347063</v>
      </c>
      <c r="F469" s="9" t="str" cm="1">
        <f t="array" ref="F469">_xlfn.LET( _xlpm.original, E469,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021 347 063</v>
      </c>
      <c r="G469" t="s">
        <v>1224</v>
      </c>
      <c r="H469" t="s">
        <v>1480</v>
      </c>
      <c r="J469" t="s">
        <v>762</v>
      </c>
      <c r="K469" t="s">
        <v>1923</v>
      </c>
      <c r="L469" t="s">
        <v>2187</v>
      </c>
    </row>
    <row r="470" spans="1:12" x14ac:dyDescent="0.25">
      <c r="A470" t="s">
        <v>125</v>
      </c>
      <c r="B470" t="s">
        <v>458</v>
      </c>
      <c r="C470" t="s">
        <v>758</v>
      </c>
      <c r="D470" t="s">
        <v>907</v>
      </c>
      <c r="E470" s="6">
        <f t="shared" si="7"/>
        <v>272233764</v>
      </c>
      <c r="F470" s="9" t="str" cm="1">
        <f t="array" ref="F470">_xlfn.LET( _xlpm.original, E470,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027 223 3764</v>
      </c>
      <c r="H470" t="s">
        <v>1479</v>
      </c>
      <c r="J470" t="s">
        <v>1789</v>
      </c>
      <c r="K470" t="s">
        <v>1922</v>
      </c>
      <c r="L470" t="s">
        <v>2293</v>
      </c>
    </row>
    <row r="471" spans="1:12" x14ac:dyDescent="0.25">
      <c r="A471" t="s">
        <v>33</v>
      </c>
      <c r="B471" t="s">
        <v>457</v>
      </c>
      <c r="C471" t="s">
        <v>758</v>
      </c>
      <c r="D471" t="s">
        <v>906</v>
      </c>
      <c r="E471" s="6">
        <f t="shared" si="7"/>
        <v>212281991</v>
      </c>
      <c r="F471" s="9" t="str" cm="1">
        <f t="array" ref="F471">_xlfn.LET( _xlpm.original, E471,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021 228 1991</v>
      </c>
      <c r="H471" t="s">
        <v>1357</v>
      </c>
      <c r="J471" t="s">
        <v>1786</v>
      </c>
      <c r="K471" t="s">
        <v>1921</v>
      </c>
      <c r="L471" t="s">
        <v>2292</v>
      </c>
    </row>
    <row r="472" spans="1:12" x14ac:dyDescent="0.25">
      <c r="A472" t="s">
        <v>124</v>
      </c>
      <c r="B472" t="s">
        <v>456</v>
      </c>
      <c r="C472" t="s">
        <v>758</v>
      </c>
      <c r="D472" t="s">
        <v>905</v>
      </c>
      <c r="E472" s="6">
        <f t="shared" si="7"/>
        <v>212424566</v>
      </c>
      <c r="F472" s="9" t="str" cm="1">
        <f t="array" ref="F472">_xlfn.LET( _xlpm.original, E472,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021 242 4566</v>
      </c>
      <c r="H472" t="s">
        <v>1478</v>
      </c>
      <c r="J472" t="s">
        <v>1788</v>
      </c>
      <c r="K472" t="s">
        <v>1920</v>
      </c>
      <c r="L472" t="s">
        <v>2291</v>
      </c>
    </row>
    <row r="473" spans="1:12" x14ac:dyDescent="0.25">
      <c r="A473" t="s">
        <v>123</v>
      </c>
      <c r="B473" t="s">
        <v>455</v>
      </c>
      <c r="C473" t="s">
        <v>762</v>
      </c>
      <c r="D473" t="s">
        <v>904</v>
      </c>
      <c r="E473" s="6">
        <f t="shared" si="7"/>
        <v>211501178</v>
      </c>
      <c r="F473" s="9" t="str" cm="1">
        <f t="array" ref="F473">_xlfn.LET( _xlpm.original, E473,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021 150 1178</v>
      </c>
      <c r="G473" t="s">
        <v>1235</v>
      </c>
      <c r="H473" t="s">
        <v>1477</v>
      </c>
      <c r="J473" t="s">
        <v>762</v>
      </c>
      <c r="K473" t="s">
        <v>1919</v>
      </c>
      <c r="L473" t="s">
        <v>2290</v>
      </c>
    </row>
    <row r="474" spans="1:12" x14ac:dyDescent="0.25">
      <c r="A474" t="s">
        <v>122</v>
      </c>
      <c r="B474" t="s">
        <v>454</v>
      </c>
      <c r="C474" t="s">
        <v>758</v>
      </c>
      <c r="D474" t="s">
        <v>903</v>
      </c>
      <c r="E474" s="6">
        <f t="shared" si="7"/>
        <v>21999310</v>
      </c>
      <c r="F474" s="9" t="str" cm="1">
        <f t="array" ref="F474">_xlfn.LET( _xlpm.original, E474,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021 999 310</v>
      </c>
      <c r="G474" t="s">
        <v>1234</v>
      </c>
      <c r="H474" t="s">
        <v>1476</v>
      </c>
      <c r="J474" t="s">
        <v>769</v>
      </c>
      <c r="K474" t="s">
        <v>1918</v>
      </c>
      <c r="L474" t="s">
        <v>2289</v>
      </c>
    </row>
    <row r="475" spans="1:12" x14ac:dyDescent="0.25">
      <c r="B475" t="s">
        <v>453</v>
      </c>
      <c r="C475" t="s">
        <v>758</v>
      </c>
      <c r="D475" t="s">
        <v>902</v>
      </c>
      <c r="E475" s="6">
        <f t="shared" si="7"/>
        <v>274698001</v>
      </c>
      <c r="F475" s="9" t="str" cm="1">
        <f t="array" ref="F475">_xlfn.LET( _xlpm.original, E475,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027 469 8001</v>
      </c>
      <c r="H475" t="s">
        <v>1475</v>
      </c>
      <c r="J475" t="s">
        <v>1787</v>
      </c>
      <c r="K475" t="s">
        <v>1917</v>
      </c>
      <c r="L475" t="s">
        <v>2288</v>
      </c>
    </row>
    <row r="476" spans="1:12" x14ac:dyDescent="0.25">
      <c r="A476" t="s">
        <v>40</v>
      </c>
      <c r="B476" t="s">
        <v>452</v>
      </c>
      <c r="C476" t="s">
        <v>758</v>
      </c>
      <c r="E476" s="6">
        <f t="shared" si="7"/>
        <v>0</v>
      </c>
      <c r="F476" s="9" t="str" cm="1">
        <f t="array" ref="F476">_xlfn.LET( _xlpm.original, E476,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G476" t="s">
        <v>1233</v>
      </c>
      <c r="H476" t="s">
        <v>1474</v>
      </c>
      <c r="J476" t="s">
        <v>758</v>
      </c>
      <c r="K476" t="s">
        <v>1916</v>
      </c>
      <c r="L476" t="s">
        <v>2156</v>
      </c>
    </row>
    <row r="477" spans="1:12" x14ac:dyDescent="0.25">
      <c r="A477" t="s">
        <v>107</v>
      </c>
      <c r="B477" t="s">
        <v>451</v>
      </c>
      <c r="C477" t="s">
        <v>758</v>
      </c>
      <c r="D477" t="s">
        <v>901</v>
      </c>
      <c r="E477" s="6">
        <f t="shared" si="7"/>
        <v>21336124</v>
      </c>
      <c r="F477" s="9" t="str" cm="1">
        <f t="array" ref="F477">_xlfn.LET( _xlpm.original, E477,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021 336 124</v>
      </c>
      <c r="G477" t="s">
        <v>1232</v>
      </c>
      <c r="H477" t="s">
        <v>1473</v>
      </c>
      <c r="J477" t="s">
        <v>1790</v>
      </c>
      <c r="K477" t="s">
        <v>1915</v>
      </c>
      <c r="L477" t="s">
        <v>2196</v>
      </c>
    </row>
    <row r="478" spans="1:12" x14ac:dyDescent="0.25">
      <c r="A478" t="s">
        <v>121</v>
      </c>
      <c r="B478" t="s">
        <v>450</v>
      </c>
      <c r="C478" t="s">
        <v>758</v>
      </c>
      <c r="E478" s="6">
        <f t="shared" si="7"/>
        <v>0</v>
      </c>
      <c r="F478" s="9" t="str" cm="1">
        <f t="array" ref="F478">_xlfn.LET( _xlpm.original, E478,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Invalid number</v>
      </c>
      <c r="H478" t="s">
        <v>1472</v>
      </c>
      <c r="J478" t="s">
        <v>1788</v>
      </c>
      <c r="K478" t="s">
        <v>1914</v>
      </c>
      <c r="L478" t="s">
        <v>2227</v>
      </c>
    </row>
    <row r="479" spans="1:12" x14ac:dyDescent="0.25">
      <c r="A479" t="s">
        <v>120</v>
      </c>
      <c r="B479" t="s">
        <v>449</v>
      </c>
      <c r="C479" t="s">
        <v>758</v>
      </c>
      <c r="D479" t="s">
        <v>900</v>
      </c>
      <c r="E479" s="6">
        <f t="shared" si="7"/>
        <v>21939008</v>
      </c>
      <c r="F479" s="9" t="str" cm="1">
        <f t="array" ref="F479">_xlfn.LET( _xlpm.original, E479,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021 939 008</v>
      </c>
      <c r="G479" t="s">
        <v>1231</v>
      </c>
      <c r="H479" t="s">
        <v>1471</v>
      </c>
      <c r="J479" t="s">
        <v>1786</v>
      </c>
      <c r="K479" t="s">
        <v>1913</v>
      </c>
      <c r="L479" t="s">
        <v>2287</v>
      </c>
    </row>
    <row r="480" spans="1:12" x14ac:dyDescent="0.25">
      <c r="A480" t="s">
        <v>119</v>
      </c>
      <c r="B480" t="s">
        <v>448</v>
      </c>
      <c r="C480" t="s">
        <v>758</v>
      </c>
      <c r="D480" t="s">
        <v>899</v>
      </c>
      <c r="E480" s="6">
        <f t="shared" si="7"/>
        <v>21988456</v>
      </c>
      <c r="F480" s="9" t="str" cm="1">
        <f t="array" ref="F480">_xlfn.LET( _xlpm.original, E480,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021 988 456</v>
      </c>
      <c r="H480" t="s">
        <v>1470</v>
      </c>
      <c r="J480" t="s">
        <v>769</v>
      </c>
      <c r="K480" t="s">
        <v>1912</v>
      </c>
      <c r="L480" t="s">
        <v>2286</v>
      </c>
    </row>
    <row r="481" spans="2:12" x14ac:dyDescent="0.25">
      <c r="B481" t="s">
        <v>755</v>
      </c>
      <c r="C481" t="s">
        <v>762</v>
      </c>
      <c r="D481" t="s">
        <v>1176</v>
      </c>
      <c r="E481" s="6">
        <f t="shared" si="7"/>
        <v>21486595</v>
      </c>
      <c r="F481" s="9" t="str" cm="1">
        <f t="array" ref="F481">_xlfn.LET( _xlpm.original, E481, _xlpm.num, SUBSTITUTE(_xlpm.original, " ", ""), _xlpm.digits, LEN(_xlpm.num), _xlpm.with_zero, IF(OR(LEFT(_xlpm.num, 1) = "0", _xlpm.digits = 10), _xlpm.num, "0" &amp; _xlpm.num), _xlpm.final_digits, LEN(_xlpm.with_zero), _xlpm.formatted, _xlfn.SWITCH(_xlpm.final_digits, 9, TEXT(VALUE(_xlpm.with_zero), "0## ### ###"), 10, TEXT(VALUE(_xlpm.with_zero), "0## ### ####"), 11, TEXT(VALUE(RIGHT(_xlpm.with_zero, 10)), "0## ### ####"), "Invalid number" ), IF(OR(_xlpm.final_digits=9, _xlpm.final_digits=10, _xlpm.final_digits=11), _xlpm.formatted, "Invalid number") )</f>
        <v>021 486 595</v>
      </c>
      <c r="H481" t="s">
        <v>1784</v>
      </c>
      <c r="J481" t="s">
        <v>762</v>
      </c>
      <c r="K481" t="s">
        <v>2149</v>
      </c>
      <c r="L481" t="s">
        <v>2550</v>
      </c>
    </row>
  </sheetData>
  <autoFilter ref="A1:L48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Sukumar Naidu Gudalore</cp:lastModifiedBy>
  <dcterms:created xsi:type="dcterms:W3CDTF">2024-08-26T01:37:51Z</dcterms:created>
  <dcterms:modified xsi:type="dcterms:W3CDTF">2024-08-26T09:38:26Z</dcterms:modified>
</cp:coreProperties>
</file>